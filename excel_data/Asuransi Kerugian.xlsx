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wnload baru\"/>
    </mc:Choice>
  </mc:AlternateContent>
  <xr:revisionPtr revIDLastSave="0" documentId="13_ncr:1_{C631D591-D6E4-4E01-8FFC-DB0B475ED50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SIAN" sheetId="1" r:id="rId1"/>
    <sheet name="HASIL" sheetId="4" r:id="rId2"/>
    <sheet name="BUAT SPPA" sheetId="6" r:id="rId3"/>
  </sheets>
  <definedNames>
    <definedName name="_xlnm.Print_Area" localSheetId="1">HASIL!$A$1:$V$69</definedName>
    <definedName name="_xlnm.Print_Area" localSheetId="0">ISIAN!$A$1:$N$27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6" l="1"/>
  <c r="B26" i="6"/>
  <c r="S24" i="6"/>
  <c r="B24" i="6"/>
  <c r="S22" i="6"/>
  <c r="B22" i="6"/>
  <c r="R19" i="6"/>
  <c r="R17" i="6"/>
  <c r="R15" i="6"/>
  <c r="Q12" i="6"/>
  <c r="L12" i="6"/>
  <c r="H10" i="6"/>
  <c r="H8" i="6"/>
  <c r="H6" i="6"/>
  <c r="H4" i="6"/>
  <c r="Q3" i="6"/>
  <c r="H3" i="6"/>
  <c r="A2" i="6"/>
  <c r="R22" i="4"/>
  <c r="N24" i="1"/>
  <c r="S49" i="4" s="1"/>
  <c r="B64" i="4"/>
  <c r="P68" i="4"/>
  <c r="S59" i="4"/>
  <c r="S41" i="4"/>
  <c r="B41" i="4"/>
  <c r="S39" i="4"/>
  <c r="B39" i="4"/>
  <c r="S37" i="4"/>
  <c r="B37" i="4"/>
  <c r="R20" i="4"/>
  <c r="R18" i="4"/>
  <c r="Q13" i="4"/>
  <c r="L13" i="4"/>
  <c r="H11" i="4"/>
  <c r="H9" i="4"/>
  <c r="H7" i="4"/>
  <c r="H5" i="4"/>
  <c r="Q4" i="4"/>
  <c r="H4" i="4"/>
  <c r="F28" i="4" s="1"/>
  <c r="H3" i="4"/>
  <c r="A2" i="4"/>
  <c r="P24" i="1"/>
  <c r="O24" i="1"/>
  <c r="M24" i="1"/>
  <c r="L22" i="4" s="1"/>
  <c r="P18" i="1"/>
  <c r="A20" i="4" s="1"/>
  <c r="O18" i="1"/>
  <c r="B33" i="4" s="1"/>
  <c r="N18" i="1"/>
  <c r="L48" i="4" s="1"/>
  <c r="M18" i="1"/>
  <c r="P12" i="1"/>
  <c r="A18" i="4" s="1"/>
  <c r="O12" i="1"/>
  <c r="B32" i="4" s="1"/>
  <c r="N12" i="1"/>
  <c r="L47" i="4" s="1"/>
  <c r="M12" i="1"/>
  <c r="L18" i="4" s="1"/>
  <c r="S28" i="6" l="1"/>
  <c r="L17" i="6"/>
  <c r="A19" i="6"/>
  <c r="A15" i="6"/>
  <c r="S32" i="6"/>
  <c r="A17" i="6"/>
  <c r="L19" i="6"/>
  <c r="L32" i="6"/>
  <c r="L15" i="6"/>
  <c r="S34" i="6"/>
  <c r="L34" i="6"/>
  <c r="S33" i="6"/>
  <c r="L33" i="6"/>
  <c r="S43" i="4"/>
  <c r="L49" i="4"/>
  <c r="A22" i="4"/>
  <c r="B34" i="4"/>
  <c r="L20" i="4"/>
  <c r="S47" i="4"/>
  <c r="S48" i="4"/>
  <c r="S36" i="6" l="1"/>
  <c r="S38" i="6" s="1"/>
  <c r="S40" i="6" s="1"/>
  <c r="S51" i="4"/>
  <c r="S53" i="4" s="1"/>
  <c r="S55" i="4" l="1"/>
</calcChain>
</file>

<file path=xl/sharedStrings.xml><?xml version="1.0" encoding="utf-8"?>
<sst xmlns="http://schemas.openxmlformats.org/spreadsheetml/2006/main" count="194" uniqueCount="97">
  <si>
    <t>OKUPASI</t>
  </si>
  <si>
    <t>RUMAH TINGGAL</t>
  </si>
  <si>
    <t>RESTAURANT</t>
  </si>
  <si>
    <t>APOTIK</t>
  </si>
  <si>
    <t>SHOPPING MALL GRADE B</t>
  </si>
  <si>
    <t>HOSPITAL / KLINIK</t>
  </si>
  <si>
    <t>KOS-KOSAN</t>
  </si>
  <si>
    <t>WARUNG MAKAN/KEDAI</t>
  </si>
  <si>
    <t>Kode</t>
  </si>
  <si>
    <t>Periode Akhir</t>
  </si>
  <si>
    <t>Nama Tertanggung</t>
  </si>
  <si>
    <t>Rate</t>
  </si>
  <si>
    <t>KANTOR/APARTEMEN &lt; 6 LANTAI</t>
  </si>
  <si>
    <t xml:space="preserve">KANTOR/APARTEMEN &gt; 6 - 18 </t>
  </si>
  <si>
    <t>KANTOR/APARTEMEN &gt; 18 - 24</t>
  </si>
  <si>
    <t>KANTOR/APARTEMEN &gt; 24</t>
  </si>
  <si>
    <t>SALON</t>
  </si>
  <si>
    <t>GUDANG PRIBADI</t>
  </si>
  <si>
    <t>SHOWROOM ONLY</t>
  </si>
  <si>
    <t>BENGKEL LAS</t>
  </si>
  <si>
    <t>Harga pertanggungan</t>
  </si>
  <si>
    <t>:</t>
  </si>
  <si>
    <t>Biaya Materai</t>
  </si>
  <si>
    <t>COVER NOTE</t>
  </si>
  <si>
    <t>Nomor Covernote</t>
  </si>
  <si>
    <t>Alamat Tertanggung</t>
  </si>
  <si>
    <t>Lokasi Objek Pertanggungan</t>
  </si>
  <si>
    <t>Jangka Waktu Pertanggungan</t>
  </si>
  <si>
    <t>Kode Okupasi :</t>
  </si>
  <si>
    <t>Okupasi :</t>
  </si>
  <si>
    <t>Kelas Konstruksi :</t>
  </si>
  <si>
    <t>Jaminan</t>
  </si>
  <si>
    <t>Suku Premi</t>
  </si>
  <si>
    <t>Premi</t>
  </si>
  <si>
    <t>1. Pokok</t>
  </si>
  <si>
    <t>Sub Total</t>
  </si>
  <si>
    <t>Biaya Polis</t>
  </si>
  <si>
    <t>Total</t>
  </si>
  <si>
    <t>Endorsement / Klausula / Syarat Tambahan :</t>
  </si>
  <si>
    <t>- klausula Kewajiban Pembayaran Premi</t>
  </si>
  <si>
    <t>- klausula Bank :</t>
  </si>
  <si>
    <t>Risiko Sendiri</t>
  </si>
  <si>
    <t>No.</t>
  </si>
  <si>
    <t>Harta Benda dan atau kepentingan yang dipertanggungkan</t>
  </si>
  <si>
    <t>IDR.</t>
  </si>
  <si>
    <t>PT. Asuransi Ramayana Tbk</t>
  </si>
  <si>
    <t>Kepala Cabang</t>
  </si>
  <si>
    <t>QQ</t>
  </si>
  <si>
    <t>yang dipertanggungkan berada)</t>
  </si>
  <si>
    <t>(kedua tanggal tersebut pada pukul 12.00 siang waktu setempat dimana harta benda</t>
  </si>
  <si>
    <t>%o</t>
  </si>
  <si>
    <t>Nama Bank</t>
  </si>
  <si>
    <t>Alamat Bank</t>
  </si>
  <si>
    <t>Periode Awal</t>
  </si>
  <si>
    <t>Kode Okupasi</t>
  </si>
  <si>
    <t>Penggunaan bangunan</t>
  </si>
  <si>
    <t>dibuat tanggal</t>
  </si>
  <si>
    <t>Kode Pemasaran</t>
  </si>
  <si>
    <t>Mulai dari tanggal</t>
  </si>
  <si>
    <t>sampai dengan tanggal</t>
  </si>
  <si>
    <t>harga pertanggungan</t>
  </si>
  <si>
    <t>Dibuat di, Bandung</t>
  </si>
  <si>
    <t>pada tanggal,</t>
  </si>
  <si>
    <t>DATA ISIAN - isi kotak yang berwarna kuning saja</t>
  </si>
  <si>
    <t>Deductible</t>
  </si>
  <si>
    <t>NILL</t>
  </si>
  <si>
    <t>0.1% of TSI or 5% of Claim whichever higher</t>
  </si>
  <si>
    <t>- klausula Perselisihan</t>
  </si>
  <si>
    <t>- Warranty okupasi disekitar premises yang berdampingan rate tidak lebih besar</t>
  </si>
  <si>
    <t>Nama Kacab</t>
  </si>
  <si>
    <t>- Communicable Disease Exclusion - LMA 5393</t>
  </si>
  <si>
    <t>RUKO/SHOP/TOKO</t>
  </si>
  <si>
    <t>CONVENIENCE STORE/WARUNG KELONTONG</t>
  </si>
  <si>
    <t>1. FLEXAS</t>
  </si>
  <si>
    <t>2. FLEXAS</t>
  </si>
  <si>
    <t>3. FLEXAS</t>
  </si>
  <si>
    <t>-</t>
  </si>
  <si>
    <t>PABRIK PEMBUATAN MAKANAN RINGAN</t>
  </si>
  <si>
    <t>Kelas Konstruksi</t>
  </si>
  <si>
    <t>Alamat Risiko satu</t>
  </si>
  <si>
    <t>Alamat Risiko Dua</t>
  </si>
  <si>
    <t>Alamat Risiko Tiga</t>
  </si>
  <si>
    <t>isian lainnya</t>
  </si>
  <si>
    <t>GARMENT ATAU KONVEKSI</t>
  </si>
  <si>
    <t>OTHER FARM</t>
  </si>
  <si>
    <t>KEDAI</t>
  </si>
  <si>
    <t>LAUNDRIES AND PRESSERS</t>
  </si>
  <si>
    <t>POULTRY FARMS</t>
  </si>
  <si>
    <t>CEMENT, CHALK, LIME AND GYPSYM INDUSTRY</t>
  </si>
  <si>
    <t xml:space="preserve">Soya bean, tomato and
hot pepper sauce
</t>
  </si>
  <si>
    <t>Bangunan tempat tinggal sekaligus tempat usaha</t>
  </si>
  <si>
    <t>Kp. Lio RT.06 RW.01 Kel. Cipamokolan Kec. Rancasari Kota Bandung</t>
  </si>
  <si>
    <t>PT. Bank Mandiri KCP …</t>
  </si>
  <si>
    <t>.../CN/VII/2026</t>
  </si>
  <si>
    <t>Hadi Kristianto</t>
  </si>
  <si>
    <t>(DI ISI KOLOM YANG BERWARNA KUNING SAJA)</t>
  </si>
  <si>
    <t>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</si>
</sst>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421]dd\ mmmm\ yyyy;@"/>
    <numFmt numFmtId="165" formatCode="0.000"/>
  </numFmts>
  <fonts count="1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mbria"/>
      <family val="1"/>
      <scheme val="maj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87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65" fontId="0" fillId="4" borderId="1" xfId="0" applyNumberFormat="1" applyFill="1" applyBorder="1"/>
    <xf numFmtId="165" fontId="0" fillId="3" borderId="1" xfId="0" applyNumberFormat="1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quotePrefix="1" applyFont="1"/>
    <xf numFmtId="0" fontId="0" fillId="5" borderId="2" xfId="0" applyFill="1" applyBorder="1" applyAlignment="1">
      <alignment horizontal="center"/>
    </xf>
    <xf numFmtId="0" fontId="8" fillId="0" borderId="3" xfId="0" applyFont="1" applyBorder="1" applyAlignment="1">
      <alignment vertical="center"/>
    </xf>
    <xf numFmtId="0" fontId="9" fillId="0" borderId="3" xfId="0" applyFont="1" applyBorder="1"/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/>
    <xf numFmtId="0" fontId="6" fillId="0" borderId="3" xfId="0" applyFont="1" applyBorder="1"/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left"/>
    </xf>
    <xf numFmtId="0" fontId="10" fillId="0" borderId="1" xfId="0" applyFont="1" applyBorder="1"/>
    <xf numFmtId="0" fontId="0" fillId="0" borderId="1" xfId="0" applyBorder="1"/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4" xfId="0" applyFont="1" applyBorder="1"/>
    <xf numFmtId="0" fontId="7" fillId="0" borderId="3" xfId="0" quotePrefix="1" applyFont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  <xf numFmtId="164" fontId="0" fillId="7" borderId="1" xfId="0" applyNumberFormat="1" applyFill="1" applyBorder="1" applyAlignment="1">
      <alignment horizontal="left"/>
    </xf>
    <xf numFmtId="43" fontId="3" fillId="7" borderId="1" xfId="1" applyFont="1" applyFill="1" applyBorder="1" applyAlignment="1">
      <alignment horizontal="left"/>
    </xf>
    <xf numFmtId="0" fontId="1" fillId="2" borderId="1" xfId="0" quotePrefix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/>
    </xf>
    <xf numFmtId="0" fontId="0" fillId="0" borderId="1" xfId="0" quotePrefix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5" borderId="7" xfId="0" applyFill="1" applyBorder="1" applyAlignment="1">
      <alignment horizontal="center"/>
    </xf>
    <xf numFmtId="0" fontId="0" fillId="0" borderId="0" xfId="0" applyAlignment="1">
      <alignment horizontal="center"/>
    </xf>
    <xf numFmtId="43" fontId="7" fillId="0" borderId="0" xfId="0" applyNumberFormat="1" applyFont="1"/>
    <xf numFmtId="0" fontId="12" fillId="0" borderId="0" xfId="0" applyFont="1"/>
    <xf numFmtId="0" fontId="13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16" fillId="0" borderId="0" xfId="0" applyFont="1"/>
    <xf numFmtId="0" fontId="16" fillId="6" borderId="6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6" borderId="5" xfId="0" applyFont="1" applyFill="1" applyBorder="1" applyAlignment="1">
      <alignment horizontal="center"/>
    </xf>
    <xf numFmtId="0" fontId="16" fillId="6" borderId="5" xfId="2" applyNumberFormat="1" applyFont="1" applyFill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4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3" xfId="0" applyFont="1" applyBorder="1" applyAlignment="1">
      <alignment horizontal="left"/>
    </xf>
    <xf numFmtId="43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0" xfId="0" applyFont="1" applyAlignment="1">
      <alignment horizontal="right"/>
    </xf>
    <xf numFmtId="43" fontId="7" fillId="0" borderId="0" xfId="1" applyFont="1" applyAlignment="1">
      <alignment horizontal="center"/>
    </xf>
    <xf numFmtId="0" fontId="9" fillId="0" borderId="0" xfId="0" applyFont="1" applyAlignment="1">
      <alignment horizontal="left" vertical="top" wrapText="1"/>
    </xf>
    <xf numFmtId="43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3" fontId="7" fillId="0" borderId="0" xfId="1" applyFont="1" applyBorder="1" applyAlignment="1">
      <alignment horizontal="center"/>
    </xf>
    <xf numFmtId="43" fontId="7" fillId="0" borderId="4" xfId="1" applyFont="1" applyBorder="1" applyAlignment="1">
      <alignment horizontal="center"/>
    </xf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top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zoomScale="85" zoomScaleNormal="85" zoomScaleSheetLayoutView="10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L9" sqref="L9"/>
    </sheetView>
  </sheetViews>
  <sheetFormatPr defaultRowHeight="15" x14ac:dyDescent="0.25"/>
  <cols>
    <col min="1" max="1" width="7.28515625" customWidth="1"/>
    <col min="2" max="2" width="33.140625" customWidth="1"/>
    <col min="3" max="3" width="8.85546875" customWidth="1"/>
    <col min="4" max="6" width="9" customWidth="1"/>
    <col min="7" max="7" width="40.28515625" customWidth="1"/>
    <col min="8" max="8" width="9.140625" customWidth="1"/>
    <col min="9" max="9" width="4.7109375" customWidth="1"/>
    <col min="10" max="10" width="3" customWidth="1"/>
    <col min="11" max="11" width="21.140625" customWidth="1"/>
    <col min="12" max="12" width="101.5703125" customWidth="1"/>
    <col min="13" max="13" width="11.42578125" style="57" customWidth="1"/>
    <col min="14" max="14" width="8.5703125" customWidth="1"/>
    <col min="15" max="15" width="9.140625" customWidth="1"/>
    <col min="16" max="16" width="11.42578125" customWidth="1"/>
    <col min="17" max="17" width="9.140625" customWidth="1"/>
  </cols>
  <sheetData>
    <row r="1" spans="1:16" ht="15.75" customHeight="1" x14ac:dyDescent="0.3">
      <c r="K1" s="62" t="s">
        <v>63</v>
      </c>
      <c r="L1" s="63"/>
    </row>
    <row r="2" spans="1:16" ht="18.75" customHeight="1" x14ac:dyDescent="0.25">
      <c r="L2" t="s">
        <v>95</v>
      </c>
    </row>
    <row r="3" spans="1:16" x14ac:dyDescent="0.25">
      <c r="K3" t="s">
        <v>57</v>
      </c>
      <c r="L3" s="41">
        <v>9495</v>
      </c>
    </row>
    <row r="4" spans="1:16" x14ac:dyDescent="0.25">
      <c r="K4" t="s">
        <v>24</v>
      </c>
      <c r="L4" s="42" t="s">
        <v>93</v>
      </c>
    </row>
    <row r="5" spans="1:16" x14ac:dyDescent="0.25">
      <c r="K5" t="s">
        <v>51</v>
      </c>
      <c r="L5" s="42" t="s">
        <v>92</v>
      </c>
    </row>
    <row r="6" spans="1:16" x14ac:dyDescent="0.25">
      <c r="K6" t="s">
        <v>10</v>
      </c>
      <c r="L6" s="42" t="s">
        <v>96</v>
      </c>
    </row>
    <row r="7" spans="1:16" x14ac:dyDescent="0.25">
      <c r="K7" t="s">
        <v>52</v>
      </c>
      <c r="L7" s="42" t="s">
        <v>96</v>
      </c>
    </row>
    <row r="8" spans="1:16" x14ac:dyDescent="0.25">
      <c r="K8" t="s">
        <v>53</v>
      </c>
      <c r="L8" s="43">
        <v>46283</v>
      </c>
    </row>
    <row r="9" spans="1:16" x14ac:dyDescent="0.25">
      <c r="K9" t="s">
        <v>9</v>
      </c>
      <c r="L9" s="43">
        <v>48109</v>
      </c>
    </row>
    <row r="10" spans="1:16" ht="15.75" x14ac:dyDescent="0.25">
      <c r="A10" s="3" t="s">
        <v>8</v>
      </c>
      <c r="B10" s="4" t="s">
        <v>0</v>
      </c>
      <c r="C10" s="1" t="s">
        <v>8</v>
      </c>
      <c r="D10" s="1" t="s">
        <v>11</v>
      </c>
      <c r="E10" s="1"/>
      <c r="F10" s="1"/>
      <c r="G10" s="36" t="s">
        <v>64</v>
      </c>
    </row>
    <row r="11" spans="1:16" ht="16.5" thickBot="1" x14ac:dyDescent="0.3">
      <c r="A11" s="3">
        <v>0</v>
      </c>
      <c r="B11" s="45" t="s">
        <v>76</v>
      </c>
      <c r="C11" s="46" t="s">
        <v>76</v>
      </c>
      <c r="D11" s="46">
        <v>0</v>
      </c>
      <c r="E11" s="46">
        <v>0</v>
      </c>
      <c r="F11" s="46">
        <v>0</v>
      </c>
      <c r="G11" s="47" t="s">
        <v>76</v>
      </c>
      <c r="K11" s="54" t="s">
        <v>79</v>
      </c>
      <c r="L11" s="42" t="s">
        <v>91</v>
      </c>
    </row>
    <row r="12" spans="1:16" ht="19.5" thickBot="1" x14ac:dyDescent="0.35">
      <c r="A12" s="32">
        <v>1</v>
      </c>
      <c r="B12" s="35" t="s">
        <v>19</v>
      </c>
      <c r="C12" s="5">
        <v>2915</v>
      </c>
      <c r="D12" s="7">
        <v>2.2629999999999999</v>
      </c>
      <c r="E12" s="7">
        <v>3.3940000000000001</v>
      </c>
      <c r="F12" s="7">
        <v>4.5259999999999998</v>
      </c>
      <c r="G12" s="36" t="s">
        <v>66</v>
      </c>
      <c r="K12" t="s">
        <v>54</v>
      </c>
      <c r="L12" s="41">
        <v>13</v>
      </c>
      <c r="M12" s="58">
        <f>VLOOKUP(L12,A11:C36,3,C11:C36)</f>
        <v>2976</v>
      </c>
      <c r="N12" s="50">
        <f>IF(L13=1,VLOOKUP(L12,A11:D36,4,D11:D36),IF(L13=2,VLOOKUP(L12,A11:E36,5,D11:D36),VLOOKUP(L12,A11:F36,6,D11:D36)))</f>
        <v>0.29399999999999998</v>
      </c>
      <c r="O12" s="16" t="str">
        <f>VLOOKUP(L12,A11:G36,7,D11:D36)</f>
        <v>NILL</v>
      </c>
      <c r="P12" s="16" t="str">
        <f>VLOOKUP(L12,A11:G36,2,D11:D36)</f>
        <v>RUMAH TINGGAL</v>
      </c>
    </row>
    <row r="13" spans="1:16" ht="18.75" x14ac:dyDescent="0.3">
      <c r="A13" s="32">
        <v>2</v>
      </c>
      <c r="B13" s="35" t="s">
        <v>3</v>
      </c>
      <c r="C13" s="2">
        <v>2930</v>
      </c>
      <c r="D13" s="8">
        <v>0.88900000000000001</v>
      </c>
      <c r="E13" s="8">
        <v>1.3340000000000001</v>
      </c>
      <c r="F13" s="8">
        <v>1.778</v>
      </c>
      <c r="G13" s="36" t="s">
        <v>66</v>
      </c>
      <c r="K13" t="s">
        <v>78</v>
      </c>
      <c r="L13" s="41">
        <v>1</v>
      </c>
      <c r="M13" s="59"/>
      <c r="N13" s="51"/>
    </row>
    <row r="14" spans="1:16" ht="18.75" x14ac:dyDescent="0.3">
      <c r="A14" s="32">
        <v>3</v>
      </c>
      <c r="B14" s="35" t="s">
        <v>72</v>
      </c>
      <c r="C14" s="6">
        <v>2933</v>
      </c>
      <c r="D14" s="9">
        <v>2.4740000000000002</v>
      </c>
      <c r="E14" s="9">
        <v>3.7109999999999999</v>
      </c>
      <c r="F14" s="9">
        <v>4.9480000000000004</v>
      </c>
      <c r="G14" s="36" t="s">
        <v>66</v>
      </c>
      <c r="K14" t="s">
        <v>55</v>
      </c>
      <c r="L14" s="42" t="s">
        <v>90</v>
      </c>
    </row>
    <row r="15" spans="1:16" ht="18.75" x14ac:dyDescent="0.3">
      <c r="A15" s="32">
        <v>4</v>
      </c>
      <c r="B15" s="33" t="s">
        <v>71</v>
      </c>
      <c r="C15" s="2">
        <v>2934</v>
      </c>
      <c r="D15" s="8">
        <v>1.52</v>
      </c>
      <c r="E15" s="8">
        <v>2.2799999999999998</v>
      </c>
      <c r="F15" s="8">
        <v>3.04</v>
      </c>
      <c r="G15" s="36" t="s">
        <v>65</v>
      </c>
      <c r="K15" t="s">
        <v>60</v>
      </c>
      <c r="L15" s="44">
        <v>110000000</v>
      </c>
    </row>
    <row r="16" spans="1:16" ht="18.75" x14ac:dyDescent="0.3">
      <c r="A16" s="32">
        <v>5</v>
      </c>
      <c r="B16" s="35" t="s">
        <v>2</v>
      </c>
      <c r="C16" s="6">
        <v>2945</v>
      </c>
      <c r="D16" s="9">
        <v>1.4790000000000001</v>
      </c>
      <c r="E16" s="9">
        <v>2.218</v>
      </c>
      <c r="F16" s="9">
        <v>2.9580000000000002</v>
      </c>
      <c r="G16" s="36" t="s">
        <v>66</v>
      </c>
    </row>
    <row r="17" spans="1:16" ht="19.5" thickBot="1" x14ac:dyDescent="0.35">
      <c r="A17" s="32">
        <v>6</v>
      </c>
      <c r="B17" s="35" t="s">
        <v>7</v>
      </c>
      <c r="C17" s="2">
        <v>2946</v>
      </c>
      <c r="D17" s="8">
        <v>2.278</v>
      </c>
      <c r="E17" s="8">
        <v>3.4180000000000001</v>
      </c>
      <c r="F17" s="8">
        <v>4.5570000000000004</v>
      </c>
      <c r="G17" s="36" t="s">
        <v>66</v>
      </c>
      <c r="K17" s="54" t="s">
        <v>80</v>
      </c>
      <c r="L17" s="42"/>
    </row>
    <row r="18" spans="1:16" ht="19.5" thickBot="1" x14ac:dyDescent="0.35">
      <c r="A18" s="32">
        <v>7</v>
      </c>
      <c r="B18" s="35" t="s">
        <v>16</v>
      </c>
      <c r="C18" s="6">
        <v>2947</v>
      </c>
      <c r="D18" s="9">
        <v>0.78100000000000003</v>
      </c>
      <c r="E18" s="9">
        <v>1.171</v>
      </c>
      <c r="F18" s="9">
        <v>1.5620000000000001</v>
      </c>
      <c r="G18" s="36" t="s">
        <v>66</v>
      </c>
      <c r="K18" t="s">
        <v>54</v>
      </c>
      <c r="L18" s="41"/>
      <c r="M18" s="60" t="str">
        <f>VLOOKUP(L18,A11:C36,3,C11:C36)</f>
        <v>-</v>
      </c>
      <c r="N18" s="16">
        <f>IF(L19=1,VLOOKUP(L18,A11:D36,4,D11:D36),IF(L19=2,VLOOKUP(L18,A11:E36,5,D11:D36),VLOOKUP(L18,A11:F36,6,D11:D36)))</f>
        <v>0</v>
      </c>
      <c r="O18" s="16" t="str">
        <f>VLOOKUP(L18,A11:G36,7,D11:D36)</f>
        <v>-</v>
      </c>
      <c r="P18" s="16" t="str">
        <f>VLOOKUP(L18,A11:G36,2,D11:D36)</f>
        <v>-</v>
      </c>
    </row>
    <row r="19" spans="1:16" ht="18.75" x14ac:dyDescent="0.3">
      <c r="A19" s="32">
        <v>8</v>
      </c>
      <c r="B19" s="35" t="s">
        <v>5</v>
      </c>
      <c r="C19" s="2">
        <v>2951</v>
      </c>
      <c r="D19" s="8">
        <v>0.378</v>
      </c>
      <c r="E19" s="8">
        <v>0.51</v>
      </c>
      <c r="F19" s="8">
        <v>0.64200000000000002</v>
      </c>
      <c r="G19" s="36" t="s">
        <v>66</v>
      </c>
      <c r="K19" t="s">
        <v>78</v>
      </c>
      <c r="L19" s="41"/>
    </row>
    <row r="20" spans="1:16" ht="18.75" x14ac:dyDescent="0.3">
      <c r="A20" s="32">
        <v>9</v>
      </c>
      <c r="B20" s="33" t="s">
        <v>12</v>
      </c>
      <c r="C20" s="6">
        <v>2971</v>
      </c>
      <c r="D20" s="9">
        <v>0.36799999999999999</v>
      </c>
      <c r="E20" s="9">
        <v>0.497</v>
      </c>
      <c r="F20" s="9">
        <v>0.625</v>
      </c>
      <c r="G20" s="36" t="s">
        <v>65</v>
      </c>
      <c r="K20" t="s">
        <v>55</v>
      </c>
      <c r="L20" s="42"/>
    </row>
    <row r="21" spans="1:16" ht="18.75" x14ac:dyDescent="0.3">
      <c r="A21" s="32">
        <v>10</v>
      </c>
      <c r="B21" s="35" t="s">
        <v>13</v>
      </c>
      <c r="C21" s="2">
        <v>2972</v>
      </c>
      <c r="D21" s="8">
        <v>0.38500000000000001</v>
      </c>
      <c r="E21" s="8">
        <v>0.52</v>
      </c>
      <c r="F21" s="8">
        <v>0.65500000000000003</v>
      </c>
      <c r="G21" s="36" t="s">
        <v>66</v>
      </c>
      <c r="K21" t="s">
        <v>60</v>
      </c>
      <c r="L21" s="44"/>
    </row>
    <row r="22" spans="1:16" ht="18.75" x14ac:dyDescent="0.3">
      <c r="A22" s="32">
        <v>11</v>
      </c>
      <c r="B22" s="35" t="s">
        <v>14</v>
      </c>
      <c r="C22" s="6">
        <v>2973</v>
      </c>
      <c r="D22" s="9">
        <v>0.376</v>
      </c>
      <c r="E22" s="9">
        <v>0.50700000000000001</v>
      </c>
      <c r="F22" s="9">
        <v>0.63900000000000001</v>
      </c>
      <c r="G22" s="36" t="s">
        <v>66</v>
      </c>
      <c r="L22" s="34"/>
    </row>
    <row r="23" spans="1:16" ht="19.5" thickBot="1" x14ac:dyDescent="0.35">
      <c r="A23" s="32">
        <v>12</v>
      </c>
      <c r="B23" s="35" t="s">
        <v>15</v>
      </c>
      <c r="C23" s="2">
        <v>2975</v>
      </c>
      <c r="D23" s="8">
        <v>0.45500000000000002</v>
      </c>
      <c r="E23" s="8">
        <v>0.61399999999999999</v>
      </c>
      <c r="F23" s="8">
        <v>0.77400000000000002</v>
      </c>
      <c r="G23" s="36" t="s">
        <v>66</v>
      </c>
      <c r="K23" s="54" t="s">
        <v>81</v>
      </c>
      <c r="L23" s="42"/>
    </row>
    <row r="24" spans="1:16" ht="19.5" thickBot="1" x14ac:dyDescent="0.35">
      <c r="A24" s="32">
        <v>13</v>
      </c>
      <c r="B24" s="33" t="s">
        <v>1</v>
      </c>
      <c r="C24" s="6">
        <v>2976</v>
      </c>
      <c r="D24" s="9">
        <v>0.29399999999999998</v>
      </c>
      <c r="E24" s="9">
        <v>0.39700000000000002</v>
      </c>
      <c r="F24" s="9">
        <v>0.499</v>
      </c>
      <c r="G24" s="36" t="s">
        <v>65</v>
      </c>
      <c r="K24" t="s">
        <v>54</v>
      </c>
      <c r="L24" s="41"/>
      <c r="M24" s="61" t="str">
        <f>VLOOKUP(L24,A11:C36,3,C11:C36)</f>
        <v>-</v>
      </c>
      <c r="N24" s="16">
        <f>IF(L25=1,VLOOKUP(L24,A11:D36,4,D11:D36),IF(L25=2,VLOOKUP(L24,A11:E36,5,D11:D36),VLOOKUP(L24,A11:F36,6,D11:D36)))</f>
        <v>0</v>
      </c>
      <c r="O24" s="16" t="str">
        <f>VLOOKUP(L24,A11:G36,7,D11:D36)</f>
        <v>-</v>
      </c>
      <c r="P24" s="16" t="str">
        <f>VLOOKUP(L24,A11:G36,2,D11:D36)</f>
        <v>-</v>
      </c>
    </row>
    <row r="25" spans="1:16" ht="18.75" x14ac:dyDescent="0.3">
      <c r="A25" s="32">
        <v>14</v>
      </c>
      <c r="B25" s="33" t="s">
        <v>6</v>
      </c>
      <c r="C25" s="2">
        <v>29761</v>
      </c>
      <c r="D25" s="8">
        <v>0.47799999999999998</v>
      </c>
      <c r="E25" s="8">
        <v>0.64500000000000002</v>
      </c>
      <c r="F25" s="8">
        <v>0.81200000000000006</v>
      </c>
      <c r="G25" s="36" t="s">
        <v>65</v>
      </c>
      <c r="K25" t="s">
        <v>78</v>
      </c>
      <c r="L25" s="41"/>
    </row>
    <row r="26" spans="1:16" ht="18.75" x14ac:dyDescent="0.3">
      <c r="A26" s="32">
        <v>15</v>
      </c>
      <c r="B26" s="35" t="s">
        <v>4</v>
      </c>
      <c r="C26" s="6">
        <v>29313</v>
      </c>
      <c r="D26" s="9">
        <v>2.234</v>
      </c>
      <c r="E26" s="9">
        <v>3.35</v>
      </c>
      <c r="F26" s="9">
        <v>4.4669999999999996</v>
      </c>
      <c r="G26" s="36" t="s">
        <v>66</v>
      </c>
      <c r="K26" t="s">
        <v>55</v>
      </c>
      <c r="L26" s="42"/>
    </row>
    <row r="27" spans="1:16" ht="18.75" x14ac:dyDescent="0.3">
      <c r="A27" s="32">
        <v>16</v>
      </c>
      <c r="B27" s="35" t="s">
        <v>17</v>
      </c>
      <c r="C27" s="2">
        <v>29371</v>
      </c>
      <c r="D27" s="8">
        <v>1.127</v>
      </c>
      <c r="E27" s="8">
        <v>1.6910000000000001</v>
      </c>
      <c r="F27" s="8">
        <v>2.2549999999999999</v>
      </c>
      <c r="G27" s="36" t="s">
        <v>66</v>
      </c>
      <c r="K27" t="s">
        <v>60</v>
      </c>
      <c r="L27" s="44"/>
    </row>
    <row r="28" spans="1:16" ht="18.75" x14ac:dyDescent="0.3">
      <c r="A28" s="32">
        <v>17</v>
      </c>
      <c r="B28" s="35" t="s">
        <v>18</v>
      </c>
      <c r="C28" s="6">
        <v>29395</v>
      </c>
      <c r="D28" s="9">
        <v>1.52</v>
      </c>
      <c r="E28" s="9">
        <v>2.2799999999999998</v>
      </c>
      <c r="F28" s="9">
        <v>3.04</v>
      </c>
      <c r="G28" s="36" t="s">
        <v>66</v>
      </c>
    </row>
    <row r="29" spans="1:16" ht="18.75" x14ac:dyDescent="0.3">
      <c r="A29" s="32">
        <v>18</v>
      </c>
      <c r="B29" s="35" t="s">
        <v>77</v>
      </c>
      <c r="C29" s="2">
        <v>2723</v>
      </c>
      <c r="D29" s="8">
        <v>1.345</v>
      </c>
      <c r="E29" s="8">
        <v>2.0179999999999998</v>
      </c>
      <c r="F29" s="8">
        <v>2.6909999999999998</v>
      </c>
      <c r="G29" s="36" t="s">
        <v>66</v>
      </c>
      <c r="K29" t="s">
        <v>56</v>
      </c>
      <c r="L29" s="43">
        <v>44772</v>
      </c>
    </row>
    <row r="30" spans="1:16" ht="18.75" x14ac:dyDescent="0.3">
      <c r="A30" s="32">
        <v>19</v>
      </c>
      <c r="B30" s="35" t="s">
        <v>83</v>
      </c>
      <c r="C30" s="2">
        <v>2465</v>
      </c>
      <c r="D30" s="8">
        <v>1.9059999999999999</v>
      </c>
      <c r="E30" s="8">
        <v>2.859</v>
      </c>
      <c r="F30" s="8">
        <v>3.8119999999999998</v>
      </c>
      <c r="G30" s="36" t="s">
        <v>66</v>
      </c>
      <c r="K30" t="s">
        <v>69</v>
      </c>
      <c r="L30" s="36" t="s">
        <v>94</v>
      </c>
    </row>
    <row r="31" spans="1:16" ht="18.75" x14ac:dyDescent="0.3">
      <c r="A31" s="32">
        <v>20</v>
      </c>
      <c r="B31" s="36" t="s">
        <v>84</v>
      </c>
      <c r="C31" s="36">
        <v>2735</v>
      </c>
      <c r="D31" s="36">
        <v>0.93700000000000006</v>
      </c>
      <c r="E31" s="36">
        <v>1.4059999999999999</v>
      </c>
      <c r="F31" s="36">
        <v>1.875</v>
      </c>
      <c r="G31" s="36" t="s">
        <v>66</v>
      </c>
    </row>
    <row r="32" spans="1:16" ht="18.75" x14ac:dyDescent="0.3">
      <c r="A32" s="32">
        <v>21</v>
      </c>
      <c r="B32" s="36" t="s">
        <v>85</v>
      </c>
      <c r="C32" s="55">
        <v>2946</v>
      </c>
      <c r="D32" s="36">
        <v>2.278</v>
      </c>
      <c r="E32" s="36">
        <v>3.4180000000000001</v>
      </c>
      <c r="F32" s="36">
        <v>4.5570000000000004</v>
      </c>
      <c r="G32" s="36" t="s">
        <v>66</v>
      </c>
      <c r="K32" t="s">
        <v>82</v>
      </c>
    </row>
    <row r="33" spans="1:7" ht="18.75" x14ac:dyDescent="0.3">
      <c r="A33" s="32">
        <v>22</v>
      </c>
      <c r="B33" s="36" t="s">
        <v>86</v>
      </c>
      <c r="C33" s="36">
        <v>2491</v>
      </c>
      <c r="D33" s="36">
        <v>2.8</v>
      </c>
      <c r="E33" s="36">
        <v>4.2</v>
      </c>
      <c r="F33" s="36">
        <v>6</v>
      </c>
      <c r="G33" s="36" t="s">
        <v>66</v>
      </c>
    </row>
    <row r="34" spans="1:7" ht="18.75" x14ac:dyDescent="0.3">
      <c r="A34" s="32">
        <v>23</v>
      </c>
      <c r="B34" s="36" t="s">
        <v>87</v>
      </c>
      <c r="C34" s="36">
        <v>2734</v>
      </c>
      <c r="D34" s="36">
        <v>1.48</v>
      </c>
      <c r="E34" s="36">
        <v>2.2210000000000001</v>
      </c>
      <c r="F34" s="36">
        <v>2.9609999999999999</v>
      </c>
      <c r="G34" s="36" t="s">
        <v>66</v>
      </c>
    </row>
    <row r="35" spans="1:7" ht="18.75" x14ac:dyDescent="0.3">
      <c r="A35" s="32">
        <v>24</v>
      </c>
      <c r="B35" s="36" t="s">
        <v>88</v>
      </c>
      <c r="C35" s="36">
        <v>2113</v>
      </c>
      <c r="D35" s="36">
        <v>0.69</v>
      </c>
      <c r="E35" s="36">
        <v>1.0349999999999999</v>
      </c>
      <c r="F35" s="36"/>
      <c r="G35" s="36" t="s">
        <v>66</v>
      </c>
    </row>
    <row r="36" spans="1:7" ht="21.75" customHeight="1" x14ac:dyDescent="0.3">
      <c r="A36" s="32">
        <v>25</v>
      </c>
      <c r="B36" s="56" t="s">
        <v>89</v>
      </c>
      <c r="C36" s="36">
        <v>2733</v>
      </c>
      <c r="D36" s="36">
        <v>0.46500000000000002</v>
      </c>
      <c r="E36" s="36">
        <v>0.69799999999999995</v>
      </c>
      <c r="F36" s="36">
        <v>0.93100000000000005</v>
      </c>
      <c r="G36" s="36" t="s">
        <v>66</v>
      </c>
    </row>
  </sheetData>
  <sheetProtection selectLockedCells="1"/>
  <mergeCells count="1">
    <mergeCell ref="K1:L1"/>
  </mergeCells>
  <printOptions horizontalCentered="1"/>
  <pageMargins left="0.7" right="0.7" top="0.75" bottom="0.75" header="0.3" footer="0.3"/>
  <pageSetup paperSize="9" scale="75" orientation="portrait" horizontalDpi="0" verticalDpi="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3"/>
  <sheetViews>
    <sheetView tabSelected="1" view="pageBreakPreview" topLeftCell="A32" zoomScaleSheetLayoutView="100" workbookViewId="0">
      <selection activeCell="Q44" sqref="Q44"/>
    </sheetView>
  </sheetViews>
  <sheetFormatPr defaultColWidth="3.85546875" defaultRowHeight="15" x14ac:dyDescent="0.25"/>
  <cols>
    <col min="1" max="5" width="3.85546875" customWidth="1"/>
    <col min="6" max="6" width="2.85546875" customWidth="1"/>
    <col min="7" max="7" width="1.42578125" customWidth="1"/>
    <col min="8" max="10" width="3.85546875" customWidth="1"/>
    <col min="11" max="11" width="1.85546875" customWidth="1"/>
    <col min="12" max="14" width="5.28515625" customWidth="1"/>
    <col min="15" max="15" width="11.7109375" customWidth="1"/>
    <col min="16" max="16" width="3.140625" customWidth="1"/>
    <col min="17" max="17" width="4.5703125" customWidth="1"/>
    <col min="18" max="21" width="3.85546875" customWidth="1"/>
    <col min="22" max="22" width="4.140625" customWidth="1"/>
  </cols>
  <sheetData>
    <row r="1" spans="1:22" ht="21.75" customHeight="1" x14ac:dyDescent="0.25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spans="1:22" ht="15" customHeight="1" x14ac:dyDescent="0.25">
      <c r="A2" s="65">
        <f>ISIAN!L3</f>
        <v>9495</v>
      </c>
      <c r="B2" s="65"/>
      <c r="C2" s="17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s="10" customFormat="1" ht="15.95" customHeight="1" x14ac:dyDescent="0.25">
      <c r="A3" s="19" t="s">
        <v>24</v>
      </c>
      <c r="B3" s="20"/>
      <c r="C3" s="21"/>
      <c r="D3" s="20"/>
      <c r="E3" s="21"/>
      <c r="F3" s="20"/>
      <c r="G3" s="20" t="s">
        <v>21</v>
      </c>
      <c r="H3" s="65" t="str">
        <f>ISIAN!L4</f>
        <v>.../CN/VII/2026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</row>
    <row r="4" spans="1:22" s="10" customFormat="1" ht="33" customHeight="1" x14ac:dyDescent="0.25">
      <c r="A4" s="22" t="s">
        <v>10</v>
      </c>
      <c r="B4" s="23"/>
      <c r="C4" s="24"/>
      <c r="D4" s="23"/>
      <c r="E4" s="24"/>
      <c r="F4" s="23"/>
      <c r="G4" s="23" t="s">
        <v>21</v>
      </c>
      <c r="H4" s="66" t="str">
        <f>ISIAN!L5</f>
        <v>PT. Bank Mandiri KCP …</v>
      </c>
      <c r="I4" s="66"/>
      <c r="J4" s="66"/>
      <c r="K4" s="66"/>
      <c r="L4" s="66"/>
      <c r="M4" s="66"/>
      <c r="N4" s="66"/>
      <c r="O4" s="66"/>
      <c r="P4" s="23" t="s">
        <v>47</v>
      </c>
      <c r="Q4" s="67" t="str">
        <f>ISIAN!L6</f>
        <v>TBA</v>
      </c>
      <c r="R4" s="67"/>
      <c r="S4" s="67"/>
      <c r="T4" s="67"/>
      <c r="U4" s="67"/>
      <c r="V4" s="67"/>
    </row>
    <row r="5" spans="1:22" s="10" customFormat="1" ht="15.95" customHeight="1" x14ac:dyDescent="0.25">
      <c r="A5" s="22" t="s">
        <v>25</v>
      </c>
      <c r="B5" s="23"/>
      <c r="C5" s="24"/>
      <c r="D5" s="23"/>
      <c r="E5" s="24"/>
      <c r="F5" s="23"/>
      <c r="G5" s="23" t="s">
        <v>21</v>
      </c>
      <c r="H5" s="68" t="str">
        <f>ISIAN!L7</f>
        <v>TBA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</row>
    <row r="6" spans="1:22" ht="3" customHeight="1" x14ac:dyDescent="0.25">
      <c r="A6" s="14"/>
      <c r="B6" s="14"/>
      <c r="C6" s="48"/>
      <c r="D6" s="14"/>
      <c r="E6" s="48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25"/>
      <c r="V6" s="25"/>
    </row>
    <row r="7" spans="1:22" s="10" customFormat="1" ht="14.1" customHeight="1" x14ac:dyDescent="0.25">
      <c r="A7" s="22" t="s">
        <v>26</v>
      </c>
      <c r="B7" s="23"/>
      <c r="C7" s="24"/>
      <c r="D7" s="23"/>
      <c r="E7" s="24"/>
      <c r="F7" s="23"/>
      <c r="G7" s="23" t="s">
        <v>21</v>
      </c>
      <c r="H7" s="69" t="str">
        <f>"1."&amp; " " &amp;ISIAN!L11</f>
        <v>1. Kp. Lio RT.06 RW.01 Kel. Cipamokolan Kec. Rancasari Kota Bandung</v>
      </c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</row>
    <row r="8" spans="1:22" s="10" customFormat="1" ht="14.1" customHeight="1" x14ac:dyDescent="0.25">
      <c r="A8" s="22"/>
      <c r="B8" s="23"/>
      <c r="C8" s="24"/>
      <c r="D8" s="23"/>
      <c r="E8" s="24"/>
      <c r="F8" s="23"/>
      <c r="G8" s="23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</row>
    <row r="9" spans="1:22" s="10" customFormat="1" ht="14.1" customHeight="1" x14ac:dyDescent="0.25">
      <c r="A9" s="22"/>
      <c r="B9" s="23"/>
      <c r="C9" s="24"/>
      <c r="D9" s="23"/>
      <c r="E9" s="24"/>
      <c r="F9" s="23"/>
      <c r="G9" s="23"/>
      <c r="H9" s="69" t="str">
        <f>"2."&amp; " " &amp;ISIAN!L17</f>
        <v xml:space="preserve">2. </v>
      </c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</row>
    <row r="10" spans="1:22" s="10" customFormat="1" ht="14.1" customHeight="1" x14ac:dyDescent="0.25">
      <c r="A10" s="22"/>
      <c r="B10" s="23"/>
      <c r="C10" s="24"/>
      <c r="D10" s="23"/>
      <c r="E10" s="24"/>
      <c r="F10" s="23"/>
      <c r="G10" s="23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</row>
    <row r="11" spans="1:22" s="10" customFormat="1" ht="14.1" customHeight="1" x14ac:dyDescent="0.25">
      <c r="A11" s="22"/>
      <c r="B11" s="23"/>
      <c r="C11" s="24"/>
      <c r="D11" s="23"/>
      <c r="E11" s="24"/>
      <c r="F11" s="23"/>
      <c r="G11" s="23"/>
      <c r="H11" s="69" t="str">
        <f>"3."&amp; " " &amp;ISIAN!L23</f>
        <v xml:space="preserve">3. 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</row>
    <row r="12" spans="1:22" s="10" customFormat="1" ht="14.1" customHeight="1" x14ac:dyDescent="0.25">
      <c r="A12" s="23"/>
      <c r="B12" s="23"/>
      <c r="C12" s="24"/>
      <c r="D12" s="23"/>
      <c r="E12" s="24"/>
      <c r="F12" s="23"/>
      <c r="G12" s="23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</row>
    <row r="13" spans="1:22" s="10" customFormat="1" ht="15.95" customHeight="1" x14ac:dyDescent="0.25">
      <c r="A13" s="22" t="s">
        <v>27</v>
      </c>
      <c r="B13" s="23"/>
      <c r="C13" s="24"/>
      <c r="D13" s="23"/>
      <c r="E13" s="24"/>
      <c r="F13" s="23"/>
      <c r="G13" s="23" t="s">
        <v>21</v>
      </c>
      <c r="H13" s="37" t="s">
        <v>58</v>
      </c>
      <c r="I13" s="23"/>
      <c r="J13" s="23"/>
      <c r="K13" s="23"/>
      <c r="L13" s="70">
        <f>ISIAN!L8</f>
        <v>46283</v>
      </c>
      <c r="M13" s="70"/>
      <c r="N13" s="70"/>
      <c r="O13" s="38" t="s">
        <v>59</v>
      </c>
      <c r="P13" s="23"/>
      <c r="Q13" s="70">
        <f>ISIAN!L9</f>
        <v>48109</v>
      </c>
      <c r="R13" s="70"/>
      <c r="S13" s="70"/>
      <c r="T13" s="70"/>
      <c r="U13" s="26"/>
      <c r="V13" s="26"/>
    </row>
    <row r="14" spans="1:22" ht="11.25" customHeight="1" x14ac:dyDescent="0.25">
      <c r="A14" s="14"/>
      <c r="B14" s="14"/>
      <c r="C14" s="48"/>
      <c r="D14" s="14"/>
      <c r="E14" s="48"/>
      <c r="F14" s="14"/>
      <c r="G14" s="14"/>
      <c r="H14" s="14" t="s">
        <v>49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25"/>
      <c r="V14" s="25"/>
    </row>
    <row r="15" spans="1:22" ht="11.25" customHeight="1" x14ac:dyDescent="0.25">
      <c r="A15" s="27"/>
      <c r="B15" s="27"/>
      <c r="C15" s="28"/>
      <c r="D15" s="27"/>
      <c r="E15" s="28"/>
      <c r="F15" s="27"/>
      <c r="G15" s="27"/>
      <c r="H15" s="27" t="s">
        <v>48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18"/>
      <c r="V15" s="18"/>
    </row>
    <row r="16" spans="1:22" ht="3" customHeight="1" x14ac:dyDescent="0.25">
      <c r="A16" s="14"/>
      <c r="B16" s="14"/>
      <c r="C16" s="48"/>
      <c r="D16" s="14"/>
      <c r="E16" s="48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25"/>
      <c r="V16" s="25"/>
    </row>
    <row r="17" spans="1:22" ht="11.25" customHeight="1" x14ac:dyDescent="0.25">
      <c r="A17" s="13" t="s">
        <v>29</v>
      </c>
      <c r="B17" s="14"/>
      <c r="C17" s="48"/>
      <c r="D17" s="14"/>
      <c r="E17" s="48"/>
      <c r="F17" s="14"/>
      <c r="G17" s="14"/>
      <c r="H17" s="14"/>
      <c r="I17" s="14"/>
      <c r="J17" s="14"/>
      <c r="K17" s="14"/>
      <c r="L17" s="13" t="s">
        <v>28</v>
      </c>
      <c r="M17" s="14"/>
      <c r="N17" s="14"/>
      <c r="O17" s="14"/>
      <c r="P17" s="14"/>
      <c r="Q17" s="14"/>
      <c r="R17" s="13" t="s">
        <v>30</v>
      </c>
      <c r="S17" s="14"/>
      <c r="T17" s="14"/>
      <c r="U17" s="25"/>
      <c r="V17" s="25"/>
    </row>
    <row r="18" spans="1:22" ht="11.25" customHeight="1" x14ac:dyDescent="0.25">
      <c r="A18" s="14" t="str">
        <f>"1."&amp; " " &amp;ISIAN!P12</f>
        <v>1. RUMAH TINGGAL</v>
      </c>
      <c r="B18" s="14"/>
      <c r="C18" s="48"/>
      <c r="D18" s="14"/>
      <c r="E18" s="48"/>
      <c r="F18" s="14"/>
      <c r="G18" s="14"/>
      <c r="H18" s="14"/>
      <c r="I18" s="14"/>
      <c r="J18" s="14"/>
      <c r="K18" s="14"/>
      <c r="L18" s="71">
        <f>ISIAN!M12</f>
        <v>2976</v>
      </c>
      <c r="M18" s="71"/>
      <c r="N18" s="71"/>
      <c r="O18" s="14"/>
      <c r="P18" s="14"/>
      <c r="Q18" s="14"/>
      <c r="R18" s="14">
        <f>ISIAN!L13</f>
        <v>1</v>
      </c>
      <c r="S18" s="14"/>
      <c r="T18" s="14"/>
      <c r="U18" s="25"/>
      <c r="V18" s="25"/>
    </row>
    <row r="19" spans="1:22" ht="11.25" customHeight="1" x14ac:dyDescent="0.25">
      <c r="A19" s="14"/>
      <c r="B19" s="14"/>
      <c r="C19" s="48"/>
      <c r="D19" s="14"/>
      <c r="E19" s="48"/>
      <c r="F19" s="14"/>
      <c r="G19" s="14"/>
      <c r="H19" s="14"/>
      <c r="I19" s="14"/>
      <c r="J19" s="14"/>
      <c r="K19" s="14"/>
      <c r="L19" s="49"/>
      <c r="M19" s="49"/>
      <c r="N19" s="49"/>
      <c r="O19" s="14"/>
      <c r="P19" s="14"/>
      <c r="Q19" s="14"/>
      <c r="R19" s="14"/>
      <c r="S19" s="14"/>
      <c r="T19" s="14"/>
      <c r="U19" s="25"/>
      <c r="V19" s="25"/>
    </row>
    <row r="20" spans="1:22" ht="11.25" customHeight="1" x14ac:dyDescent="0.25">
      <c r="A20" s="14" t="str">
        <f>"2."&amp; " " &amp;ISIAN!P18</f>
        <v>2. -</v>
      </c>
      <c r="B20" s="14"/>
      <c r="C20" s="48"/>
      <c r="D20" s="14"/>
      <c r="E20" s="48"/>
      <c r="F20" s="14"/>
      <c r="G20" s="14"/>
      <c r="H20" s="14"/>
      <c r="I20" s="14"/>
      <c r="J20" s="14"/>
      <c r="K20" s="14"/>
      <c r="L20" s="71" t="str">
        <f>ISIAN!M18</f>
        <v>-</v>
      </c>
      <c r="M20" s="71"/>
      <c r="N20" s="71"/>
      <c r="O20" s="14"/>
      <c r="P20" s="14"/>
      <c r="Q20" s="14"/>
      <c r="R20" s="14">
        <f>ISIAN!L19</f>
        <v>0</v>
      </c>
      <c r="S20" s="14"/>
      <c r="T20" s="14"/>
      <c r="U20" s="25"/>
      <c r="V20" s="25"/>
    </row>
    <row r="21" spans="1:22" ht="11.25" customHeight="1" x14ac:dyDescent="0.25">
      <c r="A21" s="14"/>
      <c r="B21" s="14"/>
      <c r="C21" s="48"/>
      <c r="D21" s="14"/>
      <c r="E21" s="48"/>
      <c r="F21" s="14"/>
      <c r="G21" s="14"/>
      <c r="H21" s="14"/>
      <c r="I21" s="14"/>
      <c r="J21" s="14"/>
      <c r="K21" s="14"/>
      <c r="L21" s="49"/>
      <c r="M21" s="49"/>
      <c r="N21" s="49"/>
      <c r="O21" s="14"/>
      <c r="P21" s="14"/>
      <c r="Q21" s="14"/>
      <c r="R21" s="14"/>
      <c r="S21" s="14"/>
      <c r="T21" s="14"/>
      <c r="U21" s="25"/>
      <c r="V21" s="25"/>
    </row>
    <row r="22" spans="1:22" ht="11.25" customHeight="1" x14ac:dyDescent="0.25">
      <c r="A22" s="27" t="str">
        <f>"3."&amp; " " &amp;ISIAN!P24</f>
        <v>3. -</v>
      </c>
      <c r="B22" s="27"/>
      <c r="C22" s="28"/>
      <c r="D22" s="27"/>
      <c r="E22" s="28"/>
      <c r="F22" s="27"/>
      <c r="G22" s="27"/>
      <c r="H22" s="27"/>
      <c r="I22" s="27"/>
      <c r="J22" s="27"/>
      <c r="K22" s="27"/>
      <c r="L22" s="72" t="str">
        <f>ISIAN!M24</f>
        <v>-</v>
      </c>
      <c r="M22" s="72"/>
      <c r="N22" s="72"/>
      <c r="O22" s="27"/>
      <c r="P22" s="27"/>
      <c r="Q22" s="27"/>
      <c r="R22" s="27">
        <f>ISIAN!L25</f>
        <v>0</v>
      </c>
      <c r="S22" s="27"/>
      <c r="T22" s="27"/>
      <c r="U22" s="18"/>
      <c r="V22" s="18"/>
    </row>
    <row r="23" spans="1:22" ht="3" customHeight="1" x14ac:dyDescent="0.25">
      <c r="A23" s="14"/>
      <c r="B23" s="14"/>
      <c r="C23" s="48"/>
      <c r="D23" s="14"/>
      <c r="E23" s="48"/>
      <c r="F23" s="14"/>
      <c r="G23" s="14"/>
      <c r="H23" s="14"/>
      <c r="I23" s="14"/>
      <c r="J23" s="14"/>
      <c r="K23" s="14"/>
      <c r="L23" s="49"/>
      <c r="M23" s="49"/>
      <c r="N23" s="49"/>
      <c r="O23" s="14"/>
      <c r="P23" s="14"/>
      <c r="Q23" s="14"/>
      <c r="R23" s="14"/>
      <c r="S23" s="14"/>
      <c r="T23" s="14"/>
      <c r="U23" s="25"/>
      <c r="V23" s="25"/>
    </row>
    <row r="24" spans="1:22" ht="11.25" customHeight="1" x14ac:dyDescent="0.25">
      <c r="A24" s="13" t="s">
        <v>38</v>
      </c>
      <c r="B24" s="14"/>
      <c r="C24" s="48"/>
      <c r="D24" s="14"/>
      <c r="E24" s="48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25"/>
      <c r="V24" s="25"/>
    </row>
    <row r="25" spans="1:22" ht="11.25" customHeight="1" x14ac:dyDescent="0.25">
      <c r="A25" s="14"/>
      <c r="B25" s="15" t="s">
        <v>67</v>
      </c>
      <c r="C25" s="48"/>
      <c r="D25" s="14"/>
      <c r="E25" s="48"/>
      <c r="F25" s="14"/>
      <c r="G25" s="14"/>
      <c r="H25" s="14"/>
      <c r="I25" s="14"/>
      <c r="J25" s="14"/>
      <c r="K25" s="14"/>
      <c r="L25" s="14"/>
      <c r="M25" s="14"/>
      <c r="N25" s="15" t="s">
        <v>70</v>
      </c>
      <c r="O25" s="14"/>
      <c r="P25" s="14"/>
      <c r="Q25" s="14"/>
      <c r="R25" s="14"/>
      <c r="S25" s="14"/>
      <c r="T25" s="14"/>
      <c r="U25" s="25"/>
      <c r="V25" s="25"/>
    </row>
    <row r="26" spans="1:22" ht="11.25" customHeight="1" x14ac:dyDescent="0.25">
      <c r="A26" s="14"/>
      <c r="B26" s="15" t="s">
        <v>39</v>
      </c>
      <c r="C26" s="48"/>
      <c r="D26" s="14"/>
      <c r="E26" s="48"/>
      <c r="F26" s="14"/>
      <c r="G26" s="14"/>
      <c r="H26" s="14"/>
      <c r="I26" s="14"/>
      <c r="J26" s="14"/>
      <c r="K26" s="14"/>
      <c r="L26" s="14"/>
      <c r="M26" s="14"/>
      <c r="N26" s="15"/>
      <c r="O26" s="14"/>
      <c r="P26" s="14"/>
      <c r="Q26" s="14"/>
      <c r="R26" s="14"/>
      <c r="S26" s="14"/>
      <c r="T26" s="14"/>
      <c r="U26" s="25"/>
      <c r="V26" s="25"/>
    </row>
    <row r="27" spans="1:22" ht="11.25" customHeight="1" x14ac:dyDescent="0.25">
      <c r="A27" s="14"/>
      <c r="B27" s="15" t="s">
        <v>68</v>
      </c>
      <c r="C27" s="48"/>
      <c r="D27" s="14"/>
      <c r="E27" s="48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25"/>
      <c r="V27" s="25"/>
    </row>
    <row r="28" spans="1:22" ht="11.25" customHeight="1" x14ac:dyDescent="0.25">
      <c r="A28" s="14"/>
      <c r="B28" s="15" t="s">
        <v>40</v>
      </c>
      <c r="C28" s="48"/>
      <c r="D28" s="14"/>
      <c r="F28" s="13" t="str">
        <f>H4</f>
        <v>PT. Bank Mandiri KCP …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25"/>
      <c r="V28" s="25"/>
    </row>
    <row r="29" spans="1:22" ht="11.25" customHeight="1" x14ac:dyDescent="0.25">
      <c r="A29" s="27"/>
      <c r="B29" s="27"/>
      <c r="C29" s="28"/>
      <c r="D29" s="27"/>
      <c r="E29" s="28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8"/>
      <c r="V29" s="18"/>
    </row>
    <row r="30" spans="1:22" ht="3" customHeight="1" x14ac:dyDescent="0.25">
      <c r="A30" s="14"/>
      <c r="B30" s="14"/>
      <c r="C30" s="48"/>
      <c r="D30" s="14"/>
      <c r="E30" s="48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25"/>
      <c r="V30" s="25"/>
    </row>
    <row r="31" spans="1:22" ht="11.25" customHeight="1" x14ac:dyDescent="0.25">
      <c r="A31" s="13" t="s">
        <v>41</v>
      </c>
      <c r="B31" s="14"/>
      <c r="C31" s="48"/>
      <c r="D31" s="14"/>
      <c r="E31" s="48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25"/>
      <c r="V31" s="25"/>
    </row>
    <row r="32" spans="1:22" ht="11.25" customHeight="1" x14ac:dyDescent="0.25">
      <c r="A32" s="14"/>
      <c r="B32" s="15" t="str">
        <f>"1."&amp; " " &amp;"FLEXAS  :  "&amp;ISIAN!O12</f>
        <v>1. FLEXAS  :  NILL</v>
      </c>
      <c r="C32" s="48"/>
      <c r="D32" s="14"/>
      <c r="E32" s="48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25"/>
      <c r="V32" s="25"/>
    </row>
    <row r="33" spans="1:22" ht="11.25" customHeight="1" x14ac:dyDescent="0.25">
      <c r="A33" s="14"/>
      <c r="B33" s="15" t="str">
        <f>"2."&amp; " " &amp;"FLEXAS  :  "&amp;ISIAN!O18</f>
        <v>2. FLEXAS  :  -</v>
      </c>
      <c r="C33" s="48"/>
      <c r="D33" s="14"/>
      <c r="E33" s="48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25"/>
      <c r="V33" s="25"/>
    </row>
    <row r="34" spans="1:22" ht="11.25" customHeight="1" x14ac:dyDescent="0.25">
      <c r="A34" s="27"/>
      <c r="B34" s="40" t="str">
        <f>"3."&amp; " " &amp;"FLEXAS  :  "&amp;ISIAN!O24</f>
        <v>3. FLEXAS  :  -</v>
      </c>
      <c r="C34" s="28"/>
      <c r="D34" s="27"/>
      <c r="E34" s="28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18"/>
      <c r="V34" s="18"/>
    </row>
    <row r="35" spans="1:22" ht="3" customHeight="1" x14ac:dyDescent="0.25">
      <c r="A35" s="14"/>
      <c r="B35" s="15"/>
      <c r="C35" s="48"/>
      <c r="D35" s="14"/>
      <c r="E35" s="48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25"/>
      <c r="V35" s="25"/>
    </row>
    <row r="36" spans="1:22" ht="11.25" customHeight="1" x14ac:dyDescent="0.25">
      <c r="A36" s="13" t="s">
        <v>42</v>
      </c>
      <c r="B36" s="13" t="s">
        <v>43</v>
      </c>
      <c r="C36" s="48"/>
      <c r="D36" s="14"/>
      <c r="E36" s="48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3" t="s">
        <v>20</v>
      </c>
      <c r="S36" s="14"/>
      <c r="T36" s="14"/>
      <c r="U36" s="25"/>
      <c r="V36" s="25"/>
    </row>
    <row r="37" spans="1:22" ht="11.25" customHeight="1" x14ac:dyDescent="0.25">
      <c r="A37" s="48">
        <v>1</v>
      </c>
      <c r="B37" s="23" t="str">
        <f>ISIAN!L14</f>
        <v>Bangunan tempat tinggal sekaligus tempat usaha</v>
      </c>
      <c r="C37" s="48"/>
      <c r="D37" s="14"/>
      <c r="E37" s="48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 t="s">
        <v>44</v>
      </c>
      <c r="S37" s="73">
        <f>ISIAN!L15</f>
        <v>110000000</v>
      </c>
      <c r="T37" s="74"/>
      <c r="U37" s="74"/>
      <c r="V37" s="74"/>
    </row>
    <row r="38" spans="1:22" ht="3" customHeight="1" x14ac:dyDescent="0.25">
      <c r="A38" s="48"/>
      <c r="B38" s="14"/>
      <c r="C38" s="48"/>
      <c r="D38" s="14"/>
      <c r="E38" s="48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25"/>
      <c r="V38" s="25"/>
    </row>
    <row r="39" spans="1:22" ht="11.25" customHeight="1" x14ac:dyDescent="0.25">
      <c r="A39" s="48">
        <v>2</v>
      </c>
      <c r="B39" s="23">
        <f>ISIAN!L20</f>
        <v>0</v>
      </c>
      <c r="C39" s="48"/>
      <c r="D39" s="14"/>
      <c r="E39" s="48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 t="s">
        <v>44</v>
      </c>
      <c r="S39" s="73">
        <f>ISIAN!L21</f>
        <v>0</v>
      </c>
      <c r="T39" s="74"/>
      <c r="U39" s="74"/>
      <c r="V39" s="74"/>
    </row>
    <row r="40" spans="1:22" ht="3" customHeight="1" x14ac:dyDescent="0.25">
      <c r="A40" s="14"/>
      <c r="B40" s="23"/>
      <c r="C40" s="48"/>
      <c r="D40" s="14"/>
      <c r="E40" s="48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25"/>
      <c r="V40" s="25"/>
    </row>
    <row r="41" spans="1:22" ht="11.25" customHeight="1" x14ac:dyDescent="0.25">
      <c r="A41" s="48">
        <v>3</v>
      </c>
      <c r="B41" s="23">
        <f>ISIAN!L26</f>
        <v>0</v>
      </c>
      <c r="C41" s="48"/>
      <c r="D41" s="14"/>
      <c r="E41" s="48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 t="s">
        <v>44</v>
      </c>
      <c r="S41" s="73">
        <f>ISIAN!L27</f>
        <v>0</v>
      </c>
      <c r="T41" s="74"/>
      <c r="U41" s="74"/>
      <c r="V41" s="74"/>
    </row>
    <row r="42" spans="1:22" ht="3" customHeight="1" x14ac:dyDescent="0.25">
      <c r="A42" s="14"/>
      <c r="B42" s="23"/>
      <c r="C42" s="48"/>
      <c r="D42" s="14"/>
      <c r="E42" s="48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9"/>
      <c r="S42" s="29"/>
      <c r="T42" s="29"/>
      <c r="U42" s="39"/>
      <c r="V42" s="39"/>
    </row>
    <row r="43" spans="1:22" ht="11.25" customHeight="1" x14ac:dyDescent="0.25">
      <c r="A43" s="27"/>
      <c r="B43" s="27"/>
      <c r="C43" s="28"/>
      <c r="D43" s="27"/>
      <c r="E43" s="28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75" t="s">
        <v>37</v>
      </c>
      <c r="Q43" s="75"/>
      <c r="R43" s="30" t="s">
        <v>44</v>
      </c>
      <c r="S43" s="76">
        <f>SUM(S37+S39+S41)</f>
        <v>110000000</v>
      </c>
      <c r="T43" s="77"/>
      <c r="U43" s="77"/>
      <c r="V43" s="77"/>
    </row>
    <row r="44" spans="1:22" ht="3" customHeight="1" x14ac:dyDescent="0.25">
      <c r="A44" s="14"/>
      <c r="B44" s="14"/>
      <c r="C44" s="48"/>
      <c r="D44" s="14"/>
      <c r="E44" s="48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25"/>
      <c r="V44" s="25"/>
    </row>
    <row r="45" spans="1:22" ht="11.25" customHeight="1" x14ac:dyDescent="0.25">
      <c r="A45" s="13" t="s">
        <v>31</v>
      </c>
      <c r="B45" s="14"/>
      <c r="C45" s="48"/>
      <c r="D45" s="14"/>
      <c r="E45" s="48"/>
      <c r="F45" s="14"/>
      <c r="G45" s="14"/>
      <c r="H45" s="14"/>
      <c r="I45" s="14"/>
      <c r="J45" s="14"/>
      <c r="K45" s="14"/>
      <c r="L45" s="13" t="s">
        <v>32</v>
      </c>
      <c r="M45" s="14"/>
      <c r="N45" s="14"/>
      <c r="O45" s="14"/>
      <c r="P45" s="14"/>
      <c r="Q45" s="14"/>
      <c r="R45" s="13" t="s">
        <v>33</v>
      </c>
      <c r="S45" s="14"/>
      <c r="T45" s="14"/>
      <c r="U45" s="25"/>
      <c r="V45" s="25"/>
    </row>
    <row r="46" spans="1:22" ht="11.25" customHeight="1" x14ac:dyDescent="0.25">
      <c r="A46" s="14" t="s">
        <v>34</v>
      </c>
      <c r="B46" s="14"/>
      <c r="C46" s="48"/>
      <c r="D46" s="14"/>
      <c r="E46" s="48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25"/>
      <c r="V46" s="25"/>
    </row>
    <row r="47" spans="1:22" ht="11.25" customHeight="1" x14ac:dyDescent="0.25">
      <c r="A47" s="14"/>
      <c r="B47" s="15" t="s">
        <v>73</v>
      </c>
      <c r="C47" s="48"/>
      <c r="D47" s="14"/>
      <c r="E47" s="48"/>
      <c r="F47" s="14"/>
      <c r="G47" s="14"/>
      <c r="H47" s="14"/>
      <c r="I47" s="14"/>
      <c r="J47" s="14"/>
      <c r="K47" s="14"/>
      <c r="L47" s="78">
        <f>ISIAN!N12</f>
        <v>0.29399999999999998</v>
      </c>
      <c r="M47" s="78"/>
      <c r="N47" s="14" t="s">
        <v>50</v>
      </c>
      <c r="O47" s="14"/>
      <c r="P47" s="14"/>
      <c r="Q47" s="14"/>
      <c r="R47" s="14" t="s">
        <v>44</v>
      </c>
      <c r="S47" s="79">
        <f>(((ISIAN!L9-ISIAN!L8)/365)*((ISIAN!L15*ISIAN!N12)/1000))</f>
        <v>161788.60273972602</v>
      </c>
      <c r="T47" s="79"/>
      <c r="U47" s="79"/>
      <c r="V47" s="79"/>
    </row>
    <row r="48" spans="1:22" ht="11.25" customHeight="1" x14ac:dyDescent="0.25">
      <c r="A48" s="14"/>
      <c r="B48" s="15" t="s">
        <v>74</v>
      </c>
      <c r="C48" s="48"/>
      <c r="D48" s="14"/>
      <c r="E48" s="48"/>
      <c r="F48" s="14"/>
      <c r="G48" s="14"/>
      <c r="H48" s="14"/>
      <c r="I48" s="14"/>
      <c r="J48" s="14"/>
      <c r="K48" s="14"/>
      <c r="L48" s="78">
        <f>ISIAN!N18</f>
        <v>0</v>
      </c>
      <c r="M48" s="78"/>
      <c r="N48" s="14" t="s">
        <v>50</v>
      </c>
      <c r="O48" s="14"/>
      <c r="P48" s="14"/>
      <c r="Q48" s="14"/>
      <c r="R48" s="14" t="s">
        <v>44</v>
      </c>
      <c r="S48" s="79">
        <f>(((ISIAN!L9-ISIAN!L8)/365)*((ISIAN!L21*ISIAN!N18)/1000))</f>
        <v>0</v>
      </c>
      <c r="T48" s="79"/>
      <c r="U48" s="79"/>
      <c r="V48" s="79"/>
    </row>
    <row r="49" spans="1:22" ht="11.25" customHeight="1" x14ac:dyDescent="0.25">
      <c r="A49" s="14"/>
      <c r="B49" s="15" t="s">
        <v>75</v>
      </c>
      <c r="C49" s="48"/>
      <c r="D49" s="14"/>
      <c r="E49" s="48"/>
      <c r="F49" s="14"/>
      <c r="G49" s="14"/>
      <c r="H49" s="14"/>
      <c r="I49" s="14"/>
      <c r="J49" s="14"/>
      <c r="K49" s="14"/>
      <c r="L49" s="78">
        <f>ISIAN!N24</f>
        <v>0</v>
      </c>
      <c r="M49" s="78"/>
      <c r="N49" s="14" t="s">
        <v>50</v>
      </c>
      <c r="O49" s="14"/>
      <c r="P49" s="14"/>
      <c r="Q49" s="14"/>
      <c r="R49" s="14" t="s">
        <v>44</v>
      </c>
      <c r="S49" s="79">
        <f>(((ISIAN!L9-ISIAN!L8)/365)*((ISIAN!L27*ISIAN!N24)/1000))</f>
        <v>0</v>
      </c>
      <c r="T49" s="79"/>
      <c r="U49" s="79"/>
      <c r="V49" s="79"/>
    </row>
    <row r="50" spans="1:22" ht="11.25" customHeight="1" x14ac:dyDescent="0.25">
      <c r="A50" s="14"/>
      <c r="B50" s="14"/>
      <c r="C50" s="48"/>
      <c r="D50" s="14"/>
      <c r="E50" s="48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25"/>
      <c r="V50" s="25"/>
    </row>
    <row r="51" spans="1:22" ht="11.25" customHeight="1" x14ac:dyDescent="0.25">
      <c r="A51" s="14"/>
      <c r="B51" s="14"/>
      <c r="C51" s="48"/>
      <c r="D51" s="14"/>
      <c r="E51" s="48"/>
      <c r="F51" s="14"/>
      <c r="G51" s="14"/>
      <c r="H51" s="14"/>
      <c r="I51" s="14"/>
      <c r="J51" s="14"/>
      <c r="K51" s="14"/>
      <c r="L51" s="13" t="s">
        <v>35</v>
      </c>
      <c r="M51" s="14"/>
      <c r="N51" s="14"/>
      <c r="O51" s="14"/>
      <c r="P51" s="14"/>
      <c r="Q51" s="14"/>
      <c r="R51" s="13" t="s">
        <v>44</v>
      </c>
      <c r="S51" s="81">
        <f>S47+S48+S49</f>
        <v>161788.60273972602</v>
      </c>
      <c r="T51" s="82"/>
      <c r="U51" s="82"/>
      <c r="V51" s="82"/>
    </row>
    <row r="52" spans="1:22" ht="11.25" customHeight="1" x14ac:dyDescent="0.25">
      <c r="A52" s="14"/>
      <c r="B52" s="14"/>
      <c r="C52" s="48"/>
      <c r="D52" s="14"/>
      <c r="E52" s="48"/>
      <c r="F52" s="14"/>
      <c r="G52" s="14"/>
      <c r="H52" s="14"/>
      <c r="I52" s="14"/>
      <c r="J52" s="14"/>
      <c r="K52" s="14"/>
      <c r="L52" s="14" t="s">
        <v>36</v>
      </c>
      <c r="M52" s="14"/>
      <c r="N52" s="14"/>
      <c r="O52" s="14"/>
      <c r="P52" s="14"/>
      <c r="Q52" s="14"/>
      <c r="R52" s="14" t="s">
        <v>44</v>
      </c>
      <c r="S52" s="79">
        <v>25000</v>
      </c>
      <c r="T52" s="79"/>
      <c r="U52" s="79"/>
      <c r="V52" s="79"/>
    </row>
    <row r="53" spans="1:22" ht="11.25" customHeight="1" x14ac:dyDescent="0.25">
      <c r="A53" s="14"/>
      <c r="B53" s="14"/>
      <c r="C53" s="48"/>
      <c r="D53" s="14"/>
      <c r="E53" s="48"/>
      <c r="F53" s="14"/>
      <c r="G53" s="14"/>
      <c r="H53" s="14"/>
      <c r="I53" s="14"/>
      <c r="J53" s="14"/>
      <c r="K53" s="14"/>
      <c r="L53" s="14" t="s">
        <v>22</v>
      </c>
      <c r="M53" s="14"/>
      <c r="N53" s="14"/>
      <c r="O53" s="14"/>
      <c r="P53" s="14"/>
      <c r="Q53" s="14"/>
      <c r="R53" s="14" t="s">
        <v>44</v>
      </c>
      <c r="S53" s="83">
        <f>IF(S51&gt;=5000000,20000,10000)</f>
        <v>10000</v>
      </c>
      <c r="T53" s="83"/>
      <c r="U53" s="83"/>
      <c r="V53" s="83"/>
    </row>
    <row r="54" spans="1:22" ht="11.25" customHeight="1" x14ac:dyDescent="0.25">
      <c r="A54" s="14"/>
      <c r="B54" s="14"/>
      <c r="C54" s="48"/>
      <c r="D54" s="14"/>
      <c r="E54" s="48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29"/>
      <c r="S54" s="84"/>
      <c r="T54" s="84"/>
      <c r="U54" s="84"/>
      <c r="V54" s="84"/>
    </row>
    <row r="55" spans="1:22" ht="11.25" customHeight="1" x14ac:dyDescent="0.25">
      <c r="A55" s="14"/>
      <c r="B55" s="14"/>
      <c r="C55" s="48"/>
      <c r="D55" s="14"/>
      <c r="E55" s="48"/>
      <c r="F55" s="14"/>
      <c r="G55" s="14"/>
      <c r="H55" s="14"/>
      <c r="I55" s="14"/>
      <c r="J55" s="14"/>
      <c r="K55" s="14"/>
      <c r="L55" s="13" t="s">
        <v>37</v>
      </c>
      <c r="M55" s="14"/>
      <c r="N55" s="14"/>
      <c r="O55" s="14"/>
      <c r="P55" s="14"/>
      <c r="Q55" s="14"/>
      <c r="R55" s="13" t="s">
        <v>44</v>
      </c>
      <c r="S55" s="81">
        <f>SUM(S51:V54)</f>
        <v>196788.60273972602</v>
      </c>
      <c r="T55" s="82"/>
      <c r="U55" s="82"/>
      <c r="V55" s="82"/>
    </row>
    <row r="56" spans="1:22" ht="11.25" customHeight="1" x14ac:dyDescent="0.25">
      <c r="A56" s="27"/>
      <c r="B56" s="27"/>
      <c r="C56" s="28"/>
      <c r="D56" s="27"/>
      <c r="E56" s="28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18"/>
      <c r="V56" s="18"/>
    </row>
    <row r="57" spans="1:22" ht="3" customHeight="1" x14ac:dyDescent="0.25">
      <c r="A57" s="14"/>
      <c r="B57" s="14"/>
      <c r="C57" s="48"/>
      <c r="D57" s="14"/>
      <c r="E57" s="48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25"/>
      <c r="V57" s="25"/>
    </row>
    <row r="58" spans="1:22" ht="11.25" customHeight="1" x14ac:dyDescent="0.25">
      <c r="A58" s="14"/>
      <c r="B58" s="14"/>
      <c r="C58" s="48"/>
      <c r="D58" s="14"/>
      <c r="E58" s="48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 t="s">
        <v>61</v>
      </c>
      <c r="Q58" s="14"/>
      <c r="R58" s="14"/>
      <c r="S58" s="14"/>
      <c r="T58" s="14"/>
      <c r="U58" s="25"/>
      <c r="V58" s="25"/>
    </row>
    <row r="59" spans="1:22" ht="11.25" customHeight="1" x14ac:dyDescent="0.25">
      <c r="A59" s="14"/>
      <c r="B59" s="14"/>
      <c r="C59" s="48"/>
      <c r="D59" s="14"/>
      <c r="E59" s="14"/>
      <c r="F59" s="52"/>
      <c r="G59" s="14"/>
      <c r="H59" s="14"/>
      <c r="I59" s="14"/>
      <c r="J59" s="14"/>
      <c r="K59" s="14"/>
      <c r="L59" s="14"/>
      <c r="M59" s="14"/>
      <c r="N59" s="14"/>
      <c r="O59" s="14"/>
      <c r="P59" s="14" t="s">
        <v>62</v>
      </c>
      <c r="Q59" s="14"/>
      <c r="R59" s="14"/>
      <c r="S59" s="85">
        <f>ISIAN!L29</f>
        <v>44772</v>
      </c>
      <c r="T59" s="85"/>
      <c r="U59" s="85"/>
      <c r="V59" s="85"/>
    </row>
    <row r="60" spans="1:22" ht="11.25" customHeight="1" x14ac:dyDescent="0.25">
      <c r="A60" s="14"/>
      <c r="B60" s="14"/>
      <c r="C60" s="48"/>
      <c r="D60" s="14"/>
      <c r="E60" s="14"/>
      <c r="F60" s="52"/>
      <c r="G60" s="14"/>
      <c r="H60" s="14"/>
      <c r="I60" s="14"/>
      <c r="J60" s="14"/>
      <c r="K60" s="14"/>
      <c r="L60" s="14"/>
      <c r="M60" s="14"/>
      <c r="N60" s="14"/>
      <c r="O60" s="14"/>
      <c r="P60" s="13" t="s">
        <v>45</v>
      </c>
      <c r="Q60" s="14"/>
      <c r="R60" s="14"/>
      <c r="S60" s="14"/>
      <c r="T60" s="14"/>
      <c r="U60" s="25"/>
      <c r="V60" s="25"/>
    </row>
    <row r="61" spans="1:22" ht="11.25" customHeight="1" x14ac:dyDescent="0.25">
      <c r="A61" s="25"/>
      <c r="B61" s="25"/>
      <c r="C61" s="31"/>
      <c r="D61" s="25"/>
      <c r="E61" s="31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spans="1:22" ht="11.25" customHeight="1" x14ac:dyDescent="0.25">
      <c r="A62" s="25"/>
      <c r="B62" s="25"/>
      <c r="C62" s="31"/>
      <c r="D62" s="25"/>
      <c r="E62" s="31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spans="1:22" ht="11.25" customHeight="1" x14ac:dyDescent="0.25">
      <c r="A63" s="25"/>
      <c r="B63" s="25"/>
      <c r="C63" s="31"/>
      <c r="D63" s="25"/>
      <c r="E63" s="31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spans="1:22" ht="11.25" customHeight="1" x14ac:dyDescent="0.25">
      <c r="A64" s="25"/>
      <c r="B64" s="80">
        <f>ISIAN!L32</f>
        <v>0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25"/>
      <c r="P64" s="25"/>
      <c r="Q64" s="25"/>
      <c r="R64" s="25"/>
      <c r="S64" s="25"/>
      <c r="T64" s="25"/>
      <c r="U64" s="25"/>
      <c r="V64" s="25"/>
    </row>
    <row r="65" spans="1:22" ht="11.25" customHeight="1" x14ac:dyDescent="0.25">
      <c r="A65" s="25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25"/>
      <c r="P65" s="25"/>
      <c r="Q65" s="25"/>
      <c r="R65" s="25"/>
      <c r="S65" s="25"/>
      <c r="T65" s="25"/>
      <c r="U65" s="25"/>
      <c r="V65" s="25"/>
    </row>
    <row r="66" spans="1:22" ht="11.25" customHeight="1" x14ac:dyDescent="0.25">
      <c r="A66" s="25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25"/>
      <c r="P66" s="25"/>
      <c r="Q66" s="25"/>
      <c r="R66" s="25"/>
      <c r="S66" s="25"/>
      <c r="T66" s="25"/>
      <c r="U66" s="25"/>
      <c r="V66" s="25"/>
    </row>
    <row r="67" spans="1:22" ht="11.25" customHeight="1" x14ac:dyDescent="0.25">
      <c r="A67" s="25"/>
      <c r="B67" s="25"/>
      <c r="C67" s="31"/>
      <c r="D67" s="25"/>
      <c r="E67" s="31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spans="1:22" ht="11.25" customHeight="1" x14ac:dyDescent="0.25">
      <c r="A68" s="14"/>
      <c r="B68" s="14"/>
      <c r="C68" s="48"/>
      <c r="D68" s="14"/>
      <c r="E68" s="48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53" t="str">
        <f>ISIAN!L30</f>
        <v>Hadi Kristianto</v>
      </c>
      <c r="Q68" s="14"/>
      <c r="R68" s="14"/>
      <c r="S68" s="14"/>
      <c r="T68" s="14"/>
      <c r="U68" s="14"/>
      <c r="V68" s="14"/>
    </row>
    <row r="69" spans="1:22" ht="11.25" customHeight="1" x14ac:dyDescent="0.25">
      <c r="A69" s="14"/>
      <c r="B69" s="14"/>
      <c r="C69" s="48"/>
      <c r="D69" s="14"/>
      <c r="E69" s="48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 t="s">
        <v>46</v>
      </c>
      <c r="Q69" s="14"/>
      <c r="R69" s="14"/>
      <c r="S69" s="14"/>
      <c r="T69" s="14"/>
      <c r="U69" s="14"/>
      <c r="V69" s="14"/>
    </row>
    <row r="70" spans="1:22" ht="11.25" customHeight="1" x14ac:dyDescent="0.25">
      <c r="A70" s="11"/>
      <c r="B70" s="11"/>
      <c r="C70" s="12"/>
      <c r="D70" s="11"/>
      <c r="E70" s="12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2" ht="11.25" customHeight="1" x14ac:dyDescent="0.25">
      <c r="A71" s="11"/>
      <c r="B71" s="11"/>
      <c r="C71" s="12"/>
      <c r="D71" s="11"/>
      <c r="E71" s="12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2" ht="11.25" customHeight="1" x14ac:dyDescent="0.25">
      <c r="A72" s="11"/>
      <c r="B72" s="11"/>
      <c r="C72" s="12"/>
      <c r="D72" s="11"/>
      <c r="E72" s="12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2" ht="11.25" customHeight="1" x14ac:dyDescent="0.25">
      <c r="A73" s="11"/>
      <c r="B73" s="11"/>
      <c r="C73" s="12"/>
      <c r="D73" s="11"/>
      <c r="E73" s="12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</sheetData>
  <sheetProtection password="DF67" sheet="1" objects="1" scenarios="1"/>
  <mergeCells count="32">
    <mergeCell ref="L48:M48"/>
    <mergeCell ref="S48:V48"/>
    <mergeCell ref="L49:M49"/>
    <mergeCell ref="S49:V49"/>
    <mergeCell ref="B64:N66"/>
    <mergeCell ref="S51:V51"/>
    <mergeCell ref="S52:V52"/>
    <mergeCell ref="S53:V53"/>
    <mergeCell ref="S54:V54"/>
    <mergeCell ref="S55:V55"/>
    <mergeCell ref="S59:V59"/>
    <mergeCell ref="S41:V41"/>
    <mergeCell ref="P43:Q43"/>
    <mergeCell ref="S43:V43"/>
    <mergeCell ref="L47:M47"/>
    <mergeCell ref="S47:V47"/>
    <mergeCell ref="L18:N18"/>
    <mergeCell ref="L20:N20"/>
    <mergeCell ref="L22:N22"/>
    <mergeCell ref="S37:V37"/>
    <mergeCell ref="S39:V39"/>
    <mergeCell ref="H5:V5"/>
    <mergeCell ref="H7:V8"/>
    <mergeCell ref="H9:V10"/>
    <mergeCell ref="H11:V12"/>
    <mergeCell ref="L13:N13"/>
    <mergeCell ref="Q13:T13"/>
    <mergeCell ref="A1:V1"/>
    <mergeCell ref="A2:B2"/>
    <mergeCell ref="H3:V3"/>
    <mergeCell ref="H4:O4"/>
    <mergeCell ref="Q4:V4"/>
  </mergeCells>
  <pageMargins left="0.61458333333333337" right="0.28999999999999998" top="1.1200000000000001" bottom="0.1" header="0" footer="0"/>
  <pageSetup paperSize="9" orientation="portrait" horizontalDpi="0" verticalDpi="0" r:id="rId1"/>
  <rowBreaks count="2" manualBreakCount="2">
    <brk id="69" max="21" man="1"/>
    <brk id="70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1"/>
  <sheetViews>
    <sheetView topLeftCell="A19" zoomScaleNormal="100" workbookViewId="0">
      <selection activeCell="Q3" sqref="Q3:V3"/>
    </sheetView>
  </sheetViews>
  <sheetFormatPr defaultRowHeight="15" x14ac:dyDescent="0.25"/>
  <cols>
    <col min="1" max="1" width="5.140625" customWidth="1"/>
    <col min="2" max="2" width="4.7109375" customWidth="1"/>
    <col min="3" max="3" width="5.28515625" customWidth="1"/>
    <col min="4" max="4" width="3.28515625" hidden="1" customWidth="1"/>
    <col min="5" max="5" width="0.42578125" hidden="1" customWidth="1"/>
    <col min="6" max="6" width="0" hidden="1" customWidth="1"/>
    <col min="7" max="7" width="2.42578125" customWidth="1"/>
    <col min="8" max="8" width="4.85546875" customWidth="1"/>
    <col min="9" max="9" width="4.140625" customWidth="1"/>
    <col min="10" max="10" width="4.85546875" customWidth="1"/>
    <col min="11" max="11" width="1.7109375" hidden="1" customWidth="1"/>
    <col min="12" max="12" width="5.42578125" customWidth="1"/>
    <col min="13" max="13" width="7.7109375" customWidth="1"/>
    <col min="14" max="14" width="1.5703125" hidden="1" customWidth="1"/>
    <col min="15" max="15" width="5.7109375" customWidth="1"/>
    <col min="16" max="16" width="9.28515625" hidden="1" customWidth="1"/>
    <col min="17" max="17" width="8" customWidth="1"/>
    <col min="18" max="18" width="3.85546875" customWidth="1"/>
    <col min="19" max="19" width="4.7109375" customWidth="1"/>
    <col min="20" max="20" width="3.28515625" customWidth="1"/>
    <col min="21" max="21" width="7.28515625" customWidth="1"/>
    <col min="22" max="22" width="2.7109375" customWidth="1"/>
  </cols>
  <sheetData>
    <row r="1" spans="1:22" ht="20.25" x14ac:dyDescent="0.2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spans="1:22" x14ac:dyDescent="0.25">
      <c r="A2" s="65">
        <f>ISIAN!L3</f>
        <v>9495</v>
      </c>
      <c r="B2" s="65"/>
      <c r="C2" s="17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x14ac:dyDescent="0.25">
      <c r="A3" s="22" t="s">
        <v>10</v>
      </c>
      <c r="B3" s="23"/>
      <c r="C3" s="24"/>
      <c r="D3" s="23"/>
      <c r="E3" s="24"/>
      <c r="F3" s="23"/>
      <c r="G3" s="23" t="s">
        <v>21</v>
      </c>
      <c r="H3" s="66" t="str">
        <f>ISIAN!L5</f>
        <v>PT. Bank Mandiri KCP …</v>
      </c>
      <c r="I3" s="66"/>
      <c r="J3" s="66"/>
      <c r="K3" s="66"/>
      <c r="L3" s="66"/>
      <c r="M3" s="66"/>
      <c r="N3" s="66"/>
      <c r="O3" s="66"/>
      <c r="P3" s="23" t="s">
        <v>47</v>
      </c>
      <c r="Q3" s="67" t="str">
        <f>ISIAN!L6</f>
        <v>TBA</v>
      </c>
      <c r="R3" s="67"/>
      <c r="S3" s="67"/>
      <c r="T3" s="67"/>
      <c r="U3" s="67"/>
      <c r="V3" s="67"/>
    </row>
    <row r="4" spans="1:22" x14ac:dyDescent="0.25">
      <c r="A4" s="22" t="s">
        <v>25</v>
      </c>
      <c r="B4" s="23"/>
      <c r="C4" s="24"/>
      <c r="D4" s="23"/>
      <c r="E4" s="24"/>
      <c r="F4" s="23"/>
      <c r="G4" s="23" t="s">
        <v>21</v>
      </c>
      <c r="H4" s="68" t="str">
        <f>ISIAN!L7</f>
        <v>TBA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</row>
    <row r="5" spans="1:22" x14ac:dyDescent="0.25">
      <c r="A5" s="14"/>
      <c r="B5" s="14"/>
      <c r="C5" s="48"/>
      <c r="D5" s="14"/>
      <c r="E5" s="48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25"/>
      <c r="V5" s="25"/>
    </row>
    <row r="6" spans="1:22" x14ac:dyDescent="0.25">
      <c r="A6" s="22" t="s">
        <v>26</v>
      </c>
      <c r="B6" s="23"/>
      <c r="C6" s="24"/>
      <c r="D6" s="23"/>
      <c r="E6" s="24"/>
      <c r="F6" s="23"/>
      <c r="G6" s="23" t="s">
        <v>21</v>
      </c>
      <c r="H6" s="86" t="str">
        <f>"1."&amp; " " &amp;ISIAN!L11</f>
        <v>1. Kp. Lio RT.06 RW.01 Kel. Cipamokolan Kec. Rancasari Kota Bandung</v>
      </c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22" x14ac:dyDescent="0.25">
      <c r="A7" s="22"/>
      <c r="B7" s="23"/>
      <c r="C7" s="24"/>
      <c r="D7" s="23"/>
      <c r="E7" s="24"/>
      <c r="F7" s="23"/>
      <c r="G7" s="23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22" x14ac:dyDescent="0.25">
      <c r="A8" s="22"/>
      <c r="B8" s="23"/>
      <c r="C8" s="24"/>
      <c r="D8" s="23"/>
      <c r="E8" s="24"/>
      <c r="F8" s="23"/>
      <c r="G8" s="23"/>
      <c r="H8" s="86" t="str">
        <f>"2."&amp; " " &amp;ISIAN!L17</f>
        <v xml:space="preserve">2. </v>
      </c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</row>
    <row r="9" spans="1:22" x14ac:dyDescent="0.25">
      <c r="A9" s="22"/>
      <c r="B9" s="23"/>
      <c r="C9" s="24"/>
      <c r="D9" s="23"/>
      <c r="E9" s="24"/>
      <c r="F9" s="23"/>
      <c r="G9" s="23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</row>
    <row r="10" spans="1:22" x14ac:dyDescent="0.25">
      <c r="A10" s="22"/>
      <c r="B10" s="23"/>
      <c r="C10" s="24"/>
      <c r="D10" s="23"/>
      <c r="E10" s="24"/>
      <c r="F10" s="23"/>
      <c r="G10" s="23"/>
      <c r="H10" s="86" t="str">
        <f>"3."&amp; " " &amp;ISIAN!L23</f>
        <v xml:space="preserve">3. </v>
      </c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</row>
    <row r="11" spans="1:22" x14ac:dyDescent="0.25">
      <c r="A11" s="23"/>
      <c r="B11" s="23"/>
      <c r="C11" s="24"/>
      <c r="D11" s="23"/>
      <c r="E11" s="24"/>
      <c r="F11" s="23"/>
      <c r="G11" s="23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</row>
    <row r="12" spans="1:22" x14ac:dyDescent="0.25">
      <c r="A12" s="22" t="s">
        <v>27</v>
      </c>
      <c r="B12" s="23"/>
      <c r="C12" s="24"/>
      <c r="D12" s="23"/>
      <c r="E12" s="24"/>
      <c r="F12" s="23"/>
      <c r="G12" s="23" t="s">
        <v>21</v>
      </c>
      <c r="H12" s="37" t="s">
        <v>58</v>
      </c>
      <c r="I12" s="23"/>
      <c r="J12" s="23"/>
      <c r="K12" s="23"/>
      <c r="L12" s="70">
        <f>ISIAN!L8</f>
        <v>46283</v>
      </c>
      <c r="M12" s="70"/>
      <c r="N12" s="70"/>
      <c r="O12" s="38" t="s">
        <v>59</v>
      </c>
      <c r="P12" s="23"/>
      <c r="Q12" s="70">
        <f>ISIAN!L9</f>
        <v>48109</v>
      </c>
      <c r="R12" s="70"/>
      <c r="S12" s="70"/>
      <c r="T12" s="70"/>
      <c r="U12" s="26"/>
      <c r="V12" s="26"/>
    </row>
    <row r="13" spans="1:22" x14ac:dyDescent="0.25">
      <c r="A13" s="14"/>
      <c r="B13" s="14"/>
      <c r="C13" s="48"/>
      <c r="D13" s="14"/>
      <c r="E13" s="48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25"/>
      <c r="V13" s="25"/>
    </row>
    <row r="14" spans="1:22" x14ac:dyDescent="0.25">
      <c r="A14" s="13" t="s">
        <v>29</v>
      </c>
      <c r="B14" s="14"/>
      <c r="C14" s="48"/>
      <c r="D14" s="14"/>
      <c r="E14" s="48"/>
      <c r="F14" s="14"/>
      <c r="G14" s="14"/>
      <c r="H14" s="14"/>
      <c r="I14" s="14"/>
      <c r="J14" s="14"/>
      <c r="K14" s="14"/>
      <c r="L14" s="13" t="s">
        <v>28</v>
      </c>
      <c r="M14" s="14"/>
      <c r="N14" s="14"/>
      <c r="O14" s="14"/>
      <c r="P14" s="14"/>
      <c r="Q14" s="14"/>
      <c r="R14" s="13" t="s">
        <v>30</v>
      </c>
      <c r="S14" s="14"/>
      <c r="T14" s="14"/>
      <c r="U14" s="25"/>
      <c r="V14" s="25"/>
    </row>
    <row r="15" spans="1:22" x14ac:dyDescent="0.25">
      <c r="A15" s="14" t="str">
        <f>"1."&amp; " " &amp;ISIAN!P12</f>
        <v>1. RUMAH TINGGAL</v>
      </c>
      <c r="B15" s="14"/>
      <c r="C15" s="48"/>
      <c r="D15" s="14"/>
      <c r="E15" s="48"/>
      <c r="F15" s="14"/>
      <c r="G15" s="14"/>
      <c r="H15" s="14"/>
      <c r="I15" s="14"/>
      <c r="J15" s="14"/>
      <c r="K15" s="14"/>
      <c r="L15" s="71">
        <f>ISIAN!M12</f>
        <v>2976</v>
      </c>
      <c r="M15" s="71"/>
      <c r="N15" s="71"/>
      <c r="O15" s="14"/>
      <c r="P15" s="14"/>
      <c r="Q15" s="14"/>
      <c r="R15" s="14">
        <f>ISIAN!L13</f>
        <v>1</v>
      </c>
      <c r="S15" s="14"/>
      <c r="T15" s="14"/>
      <c r="U15" s="25"/>
      <c r="V15" s="25"/>
    </row>
    <row r="16" spans="1:22" x14ac:dyDescent="0.25">
      <c r="A16" s="14"/>
      <c r="B16" s="14"/>
      <c r="C16" s="48"/>
      <c r="D16" s="14"/>
      <c r="E16" s="48"/>
      <c r="F16" s="14"/>
      <c r="G16" s="14"/>
      <c r="H16" s="14"/>
      <c r="I16" s="14"/>
      <c r="J16" s="14"/>
      <c r="K16" s="14"/>
      <c r="L16" s="49"/>
      <c r="M16" s="49"/>
      <c r="N16" s="49"/>
      <c r="O16" s="14"/>
      <c r="P16" s="14"/>
      <c r="Q16" s="14"/>
      <c r="R16" s="14"/>
      <c r="S16" s="14"/>
      <c r="T16" s="14"/>
      <c r="U16" s="25"/>
      <c r="V16" s="25"/>
    </row>
    <row r="17" spans="1:22" x14ac:dyDescent="0.25">
      <c r="A17" s="14" t="str">
        <f>"2."&amp; " " &amp;ISIAN!P18</f>
        <v>2. -</v>
      </c>
      <c r="B17" s="14"/>
      <c r="C17" s="48"/>
      <c r="D17" s="14"/>
      <c r="E17" s="48"/>
      <c r="F17" s="14"/>
      <c r="G17" s="14"/>
      <c r="H17" s="14"/>
      <c r="I17" s="14"/>
      <c r="J17" s="14"/>
      <c r="K17" s="14"/>
      <c r="L17" s="71" t="str">
        <f>ISIAN!M18</f>
        <v>-</v>
      </c>
      <c r="M17" s="71"/>
      <c r="N17" s="71"/>
      <c r="O17" s="14"/>
      <c r="P17" s="14"/>
      <c r="Q17" s="14"/>
      <c r="R17" s="14">
        <f>ISIAN!L19</f>
        <v>0</v>
      </c>
      <c r="S17" s="14"/>
      <c r="T17" s="14"/>
      <c r="U17" s="25"/>
      <c r="V17" s="25"/>
    </row>
    <row r="18" spans="1:22" x14ac:dyDescent="0.25">
      <c r="A18" s="14"/>
      <c r="B18" s="14"/>
      <c r="C18" s="48"/>
      <c r="D18" s="14"/>
      <c r="E18" s="48"/>
      <c r="F18" s="14"/>
      <c r="G18" s="14"/>
      <c r="H18" s="14"/>
      <c r="I18" s="14"/>
      <c r="J18" s="14"/>
      <c r="K18" s="14"/>
      <c r="L18" s="49"/>
      <c r="M18" s="49"/>
      <c r="N18" s="49"/>
      <c r="O18" s="14"/>
      <c r="P18" s="14"/>
      <c r="Q18" s="14"/>
      <c r="R18" s="14"/>
      <c r="S18" s="14"/>
      <c r="T18" s="14"/>
      <c r="U18" s="25"/>
      <c r="V18" s="25"/>
    </row>
    <row r="19" spans="1:22" x14ac:dyDescent="0.25">
      <c r="A19" s="27" t="str">
        <f>"3."&amp; " " &amp;ISIAN!P24</f>
        <v>3. -</v>
      </c>
      <c r="B19" s="27"/>
      <c r="C19" s="28"/>
      <c r="D19" s="27"/>
      <c r="E19" s="28"/>
      <c r="F19" s="27"/>
      <c r="G19" s="27"/>
      <c r="H19" s="27"/>
      <c r="I19" s="27"/>
      <c r="J19" s="27"/>
      <c r="K19" s="27"/>
      <c r="L19" s="72" t="str">
        <f>ISIAN!M24</f>
        <v>-</v>
      </c>
      <c r="M19" s="72"/>
      <c r="N19" s="72"/>
      <c r="O19" s="27"/>
      <c r="P19" s="27"/>
      <c r="Q19" s="27"/>
      <c r="R19" s="27">
        <f>ISIAN!L25</f>
        <v>0</v>
      </c>
      <c r="S19" s="27"/>
      <c r="T19" s="27"/>
      <c r="U19" s="18"/>
      <c r="V19" s="18"/>
    </row>
    <row r="20" spans="1:22" x14ac:dyDescent="0.25">
      <c r="A20" s="14"/>
      <c r="B20" s="15"/>
      <c r="C20" s="48"/>
      <c r="D20" s="14"/>
      <c r="E20" s="48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25"/>
      <c r="V20" s="25"/>
    </row>
    <row r="21" spans="1:22" x14ac:dyDescent="0.25">
      <c r="A21" s="13" t="s">
        <v>42</v>
      </c>
      <c r="B21" s="13" t="s">
        <v>43</v>
      </c>
      <c r="C21" s="48"/>
      <c r="D21" s="14"/>
      <c r="E21" s="48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3" t="s">
        <v>20</v>
      </c>
      <c r="S21" s="14"/>
      <c r="T21" s="14"/>
      <c r="U21" s="25"/>
      <c r="V21" s="25"/>
    </row>
    <row r="22" spans="1:22" x14ac:dyDescent="0.25">
      <c r="A22" s="48">
        <v>1</v>
      </c>
      <c r="B22" s="86" t="str">
        <f>ISIAN!L14</f>
        <v>Bangunan tempat tinggal sekaligus tempat usaha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14" t="s">
        <v>44</v>
      </c>
      <c r="S22" s="73">
        <f>ISIAN!L15</f>
        <v>110000000</v>
      </c>
      <c r="T22" s="74"/>
      <c r="U22" s="74"/>
      <c r="V22" s="74"/>
    </row>
    <row r="23" spans="1:22" x14ac:dyDescent="0.25">
      <c r="A23" s="48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14"/>
      <c r="S23" s="14"/>
      <c r="T23" s="14"/>
      <c r="U23" s="25"/>
      <c r="V23" s="25"/>
    </row>
    <row r="24" spans="1:22" x14ac:dyDescent="0.25">
      <c r="A24" s="48">
        <v>2</v>
      </c>
      <c r="B24" s="86">
        <f>ISIAN!L20</f>
        <v>0</v>
      </c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14" t="s">
        <v>44</v>
      </c>
      <c r="S24" s="73">
        <f>ISIAN!L21</f>
        <v>0</v>
      </c>
      <c r="T24" s="74"/>
      <c r="U24" s="74"/>
      <c r="V24" s="74"/>
    </row>
    <row r="25" spans="1:22" x14ac:dyDescent="0.25">
      <c r="A25" s="14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14"/>
      <c r="S25" s="14"/>
      <c r="T25" s="14"/>
      <c r="U25" s="25"/>
      <c r="V25" s="25"/>
    </row>
    <row r="26" spans="1:22" x14ac:dyDescent="0.25">
      <c r="A26" s="48">
        <v>3</v>
      </c>
      <c r="B26" s="86">
        <f>ISIAN!L26</f>
        <v>0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14" t="s">
        <v>44</v>
      </c>
      <c r="S26" s="73">
        <f>ISIAN!L27</f>
        <v>0</v>
      </c>
      <c r="T26" s="74"/>
      <c r="U26" s="74"/>
      <c r="V26" s="74"/>
    </row>
    <row r="27" spans="1:22" x14ac:dyDescent="0.25">
      <c r="A27" s="14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29"/>
      <c r="S27" s="29"/>
      <c r="T27" s="29"/>
      <c r="U27" s="39"/>
      <c r="V27" s="39"/>
    </row>
    <row r="28" spans="1:22" x14ac:dyDescent="0.25">
      <c r="A28" s="27"/>
      <c r="B28" s="27"/>
      <c r="C28" s="28"/>
      <c r="D28" s="27"/>
      <c r="E28" s="28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75" t="s">
        <v>37</v>
      </c>
      <c r="Q28" s="75"/>
      <c r="R28" s="30" t="s">
        <v>44</v>
      </c>
      <c r="S28" s="76">
        <f>SUM(S22+S24+S26)</f>
        <v>110000000</v>
      </c>
      <c r="T28" s="77"/>
      <c r="U28" s="77"/>
      <c r="V28" s="77"/>
    </row>
    <row r="29" spans="1:22" x14ac:dyDescent="0.25">
      <c r="A29" s="14"/>
      <c r="B29" s="14"/>
      <c r="C29" s="48"/>
      <c r="D29" s="14"/>
      <c r="E29" s="48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25"/>
      <c r="V29" s="25"/>
    </row>
    <row r="30" spans="1:22" x14ac:dyDescent="0.25">
      <c r="A30" s="13" t="s">
        <v>31</v>
      </c>
      <c r="B30" s="14"/>
      <c r="C30" s="48"/>
      <c r="D30" s="14"/>
      <c r="E30" s="48"/>
      <c r="F30" s="14"/>
      <c r="G30" s="14"/>
      <c r="H30" s="14"/>
      <c r="I30" s="14"/>
      <c r="J30" s="14"/>
      <c r="K30" s="14"/>
      <c r="L30" s="13" t="s">
        <v>32</v>
      </c>
      <c r="M30" s="14"/>
      <c r="N30" s="14"/>
      <c r="O30" s="14"/>
      <c r="P30" s="14"/>
      <c r="Q30" s="14"/>
      <c r="R30" s="13" t="s">
        <v>33</v>
      </c>
      <c r="S30" s="14"/>
      <c r="T30" s="14"/>
      <c r="U30" s="25"/>
      <c r="V30" s="25"/>
    </row>
    <row r="31" spans="1:22" x14ac:dyDescent="0.25">
      <c r="A31" s="14" t="s">
        <v>34</v>
      </c>
      <c r="B31" s="14"/>
      <c r="C31" s="48"/>
      <c r="D31" s="14"/>
      <c r="E31" s="48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25"/>
      <c r="V31" s="25"/>
    </row>
    <row r="32" spans="1:22" x14ac:dyDescent="0.25">
      <c r="A32" s="14"/>
      <c r="B32" s="15" t="s">
        <v>73</v>
      </c>
      <c r="C32" s="48"/>
      <c r="D32" s="14"/>
      <c r="E32" s="48"/>
      <c r="F32" s="14"/>
      <c r="G32" s="14"/>
      <c r="H32" s="14"/>
      <c r="I32" s="14"/>
      <c r="J32" s="14"/>
      <c r="K32" s="14"/>
      <c r="L32" s="78">
        <f>ISIAN!N12</f>
        <v>0.29399999999999998</v>
      </c>
      <c r="M32" s="78"/>
      <c r="N32" s="14" t="s">
        <v>50</v>
      </c>
      <c r="O32" s="14"/>
      <c r="P32" s="14"/>
      <c r="Q32" s="14"/>
      <c r="R32" s="14" t="s">
        <v>44</v>
      </c>
      <c r="S32" s="79">
        <f>(((ISIAN!L9-ISIAN!L8)/365)*((ISIAN!L15*ISIAN!N12)/1000))</f>
        <v>161788.60273972602</v>
      </c>
      <c r="T32" s="79"/>
      <c r="U32" s="79"/>
      <c r="V32" s="79"/>
    </row>
    <row r="33" spans="1:22" x14ac:dyDescent="0.25">
      <c r="A33" s="14"/>
      <c r="B33" s="15" t="s">
        <v>74</v>
      </c>
      <c r="C33" s="48"/>
      <c r="D33" s="14"/>
      <c r="E33" s="48"/>
      <c r="F33" s="14"/>
      <c r="G33" s="14"/>
      <c r="H33" s="14"/>
      <c r="I33" s="14"/>
      <c r="J33" s="14"/>
      <c r="K33" s="14"/>
      <c r="L33" s="78">
        <f>ISIAN!N18</f>
        <v>0</v>
      </c>
      <c r="M33" s="78"/>
      <c r="N33" s="14" t="s">
        <v>50</v>
      </c>
      <c r="O33" s="14"/>
      <c r="P33" s="14"/>
      <c r="Q33" s="14"/>
      <c r="R33" s="14" t="s">
        <v>44</v>
      </c>
      <c r="S33" s="79">
        <f>(((ISIAN!L9-ISIAN!L8)/365)*((ISIAN!L21*ISIAN!N18)/1000))</f>
        <v>0</v>
      </c>
      <c r="T33" s="79"/>
      <c r="U33" s="79"/>
      <c r="V33" s="79"/>
    </row>
    <row r="34" spans="1:22" x14ac:dyDescent="0.25">
      <c r="A34" s="14"/>
      <c r="B34" s="15" t="s">
        <v>75</v>
      </c>
      <c r="C34" s="48"/>
      <c r="D34" s="14"/>
      <c r="E34" s="48"/>
      <c r="F34" s="14"/>
      <c r="G34" s="14"/>
      <c r="H34" s="14"/>
      <c r="I34" s="14"/>
      <c r="J34" s="14"/>
      <c r="K34" s="14"/>
      <c r="L34" s="78">
        <f>ISIAN!N24</f>
        <v>0</v>
      </c>
      <c r="M34" s="78"/>
      <c r="N34" s="14" t="s">
        <v>50</v>
      </c>
      <c r="O34" s="14"/>
      <c r="P34" s="14"/>
      <c r="Q34" s="14"/>
      <c r="R34" s="14" t="s">
        <v>44</v>
      </c>
      <c r="S34" s="79">
        <f>(((ISIAN!L9-ISIAN!L8)/365)*((ISIAN!L27*ISIAN!N24)/1000))</f>
        <v>0</v>
      </c>
      <c r="T34" s="79"/>
      <c r="U34" s="79"/>
      <c r="V34" s="79"/>
    </row>
    <row r="35" spans="1:22" x14ac:dyDescent="0.25">
      <c r="A35" s="14"/>
      <c r="B35" s="14"/>
      <c r="C35" s="48"/>
      <c r="D35" s="14"/>
      <c r="E35" s="48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25"/>
      <c r="V35" s="25"/>
    </row>
    <row r="36" spans="1:22" x14ac:dyDescent="0.25">
      <c r="A36" s="14"/>
      <c r="B36" s="14"/>
      <c r="C36" s="48"/>
      <c r="D36" s="14"/>
      <c r="E36" s="48"/>
      <c r="F36" s="14"/>
      <c r="G36" s="14"/>
      <c r="H36" s="14"/>
      <c r="I36" s="14"/>
      <c r="J36" s="14"/>
      <c r="K36" s="14"/>
      <c r="L36" s="13" t="s">
        <v>35</v>
      </c>
      <c r="M36" s="14"/>
      <c r="N36" s="14"/>
      <c r="O36" s="14"/>
      <c r="P36" s="14"/>
      <c r="Q36" s="14"/>
      <c r="R36" s="13" t="s">
        <v>44</v>
      </c>
      <c r="S36" s="81">
        <f>S32+S33+S34</f>
        <v>161788.60273972602</v>
      </c>
      <c r="T36" s="82"/>
      <c r="U36" s="82"/>
      <c r="V36" s="82"/>
    </row>
    <row r="37" spans="1:22" x14ac:dyDescent="0.25">
      <c r="A37" s="14"/>
      <c r="B37" s="14"/>
      <c r="C37" s="48"/>
      <c r="D37" s="14"/>
      <c r="E37" s="48"/>
      <c r="F37" s="14"/>
      <c r="G37" s="14"/>
      <c r="H37" s="14"/>
      <c r="I37" s="14"/>
      <c r="J37" s="14"/>
      <c r="K37" s="14"/>
      <c r="L37" s="14" t="s">
        <v>36</v>
      </c>
      <c r="M37" s="14"/>
      <c r="N37" s="14"/>
      <c r="O37" s="14"/>
      <c r="P37" s="14"/>
      <c r="Q37" s="14"/>
      <c r="R37" s="14" t="s">
        <v>44</v>
      </c>
      <c r="S37" s="79">
        <v>25000</v>
      </c>
      <c r="T37" s="79"/>
      <c r="U37" s="79"/>
      <c r="V37" s="79"/>
    </row>
    <row r="38" spans="1:22" x14ac:dyDescent="0.25">
      <c r="A38" s="14"/>
      <c r="B38" s="14"/>
      <c r="C38" s="48"/>
      <c r="D38" s="14"/>
      <c r="E38" s="48"/>
      <c r="F38" s="14"/>
      <c r="G38" s="14"/>
      <c r="H38" s="14"/>
      <c r="I38" s="14"/>
      <c r="J38" s="14"/>
      <c r="K38" s="14"/>
      <c r="L38" s="14" t="s">
        <v>22</v>
      </c>
      <c r="M38" s="14"/>
      <c r="N38" s="14"/>
      <c r="O38" s="14"/>
      <c r="P38" s="14"/>
      <c r="Q38" s="14"/>
      <c r="R38" s="14" t="s">
        <v>44</v>
      </c>
      <c r="S38" s="83">
        <f>IF(S36&gt;=5000000,20000,10000)</f>
        <v>10000</v>
      </c>
      <c r="T38" s="83"/>
      <c r="U38" s="83"/>
      <c r="V38" s="83"/>
    </row>
    <row r="39" spans="1:22" x14ac:dyDescent="0.25">
      <c r="A39" s="14"/>
      <c r="B39" s="14"/>
      <c r="C39" s="48"/>
      <c r="D39" s="14"/>
      <c r="E39" s="48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29"/>
      <c r="S39" s="84"/>
      <c r="T39" s="84"/>
      <c r="U39" s="84"/>
      <c r="V39" s="84"/>
    </row>
    <row r="40" spans="1:22" x14ac:dyDescent="0.25">
      <c r="A40" s="14"/>
      <c r="B40" s="14"/>
      <c r="C40" s="48"/>
      <c r="D40" s="14"/>
      <c r="E40" s="48"/>
      <c r="F40" s="14"/>
      <c r="G40" s="14"/>
      <c r="H40" s="14"/>
      <c r="I40" s="14"/>
      <c r="J40" s="14"/>
      <c r="K40" s="14"/>
      <c r="L40" s="13" t="s">
        <v>37</v>
      </c>
      <c r="M40" s="14"/>
      <c r="N40" s="14"/>
      <c r="O40" s="14"/>
      <c r="P40" s="14"/>
      <c r="Q40" s="14"/>
      <c r="R40" s="13" t="s">
        <v>44</v>
      </c>
      <c r="S40" s="81">
        <f>SUM(S36:V39)</f>
        <v>196788.60273972602</v>
      </c>
      <c r="T40" s="82"/>
      <c r="U40" s="82"/>
      <c r="V40" s="82"/>
    </row>
    <row r="41" spans="1:22" x14ac:dyDescent="0.25">
      <c r="A41" s="27"/>
      <c r="B41" s="27"/>
      <c r="C41" s="28"/>
      <c r="D41" s="27"/>
      <c r="E41" s="28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18"/>
      <c r="V41" s="18"/>
    </row>
  </sheetData>
  <mergeCells count="32">
    <mergeCell ref="L15:N15"/>
    <mergeCell ref="A1:V1"/>
    <mergeCell ref="A2:B2"/>
    <mergeCell ref="H3:O3"/>
    <mergeCell ref="Q3:V3"/>
    <mergeCell ref="H4:V4"/>
    <mergeCell ref="H6:V7"/>
    <mergeCell ref="H8:V9"/>
    <mergeCell ref="H10:V11"/>
    <mergeCell ref="L12:N12"/>
    <mergeCell ref="Q12:T12"/>
    <mergeCell ref="L33:M33"/>
    <mergeCell ref="S33:V33"/>
    <mergeCell ref="L34:M34"/>
    <mergeCell ref="S34:V34"/>
    <mergeCell ref="L17:N17"/>
    <mergeCell ref="L19:N19"/>
    <mergeCell ref="S22:V22"/>
    <mergeCell ref="S24:V24"/>
    <mergeCell ref="S26:V26"/>
    <mergeCell ref="P28:Q28"/>
    <mergeCell ref="S28:V28"/>
    <mergeCell ref="B22:Q23"/>
    <mergeCell ref="B24:Q25"/>
    <mergeCell ref="B26:Q27"/>
    <mergeCell ref="L32:M32"/>
    <mergeCell ref="S32:V32"/>
    <mergeCell ref="S36:V36"/>
    <mergeCell ref="S37:V37"/>
    <mergeCell ref="S38:V38"/>
    <mergeCell ref="S39:V39"/>
    <mergeCell ref="S40:V4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ISIAN</vt:lpstr>
      <vt:lpstr>HASIL</vt:lpstr>
      <vt:lpstr>BUAT SPPA</vt:lpstr>
      <vt:lpstr>HASIL!Print_Area</vt:lpstr>
      <vt:lpstr>ISIAN!Print_Area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Ridwan Rahadi</cp:lastModifiedBy>
  <cp:lastPrinted>2022-06-30T04:44:25Z</cp:lastPrinted>
  <dcterms:created xsi:type="dcterms:W3CDTF">2019-09-11T02:54:24Z</dcterms:created>
  <dcterms:modified xsi:type="dcterms:W3CDTF">2026-09-18T09:24:18Z</dcterms:modified>
</cp:coreProperties>
</file>